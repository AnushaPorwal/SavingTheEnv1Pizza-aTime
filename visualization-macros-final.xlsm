
<file path=[Content_Types].xml><?xml version="1.0" encoding="utf-8"?>
<Types xmlns="http://schemas.openxmlformats.org/package/2006/content-types">
  <Default Extension="bin" ContentType="application/vnd.ms-office.vbaProject"/>
  <Default Extension="jp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chart5.xml" ContentType="application/vnd.openxmlformats-officedocument.drawingml.chart+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hidePivotFieldList="1" defaultThemeVersion="202300"/>
  <mc:AlternateContent xmlns:mc="http://schemas.openxmlformats.org/markup-compatibility/2006">
    <mc:Choice Requires="x15">
      <x15ac:absPath xmlns:x15ac="http://schemas.microsoft.com/office/spreadsheetml/2010/11/ac" url="https://d.docs.live.net/8e708e2bf42e2d08/Documents/Sem3/Explorative Information Visualization/Project/"/>
    </mc:Choice>
  </mc:AlternateContent>
  <xr:revisionPtr revIDLastSave="1228" documentId="8_{5B810A3F-5F84-44DE-B97A-6C63967A26DE}" xr6:coauthVersionLast="47" xr6:coauthVersionMax="47" xr10:uidLastSave="{A8EC1219-3C5F-4496-BE10-1612206C335D}"/>
  <bookViews>
    <workbookView xWindow="-108" yWindow="-108" windowWidth="23256" windowHeight="12456" activeTab="2" xr2:uid="{441C01D5-0107-4E8C-B53C-E5DAC44867CB}"/>
  </bookViews>
  <sheets>
    <sheet name="Work" sheetId="2" r:id="rId1"/>
    <sheet name="Temp" sheetId="3" r:id="rId2"/>
    <sheet name="finalData2use - Copy" sheetId="1" r:id="rId3"/>
  </sheets>
  <functionGroups builtInGroupCount="19"/>
  <definedNames>
    <definedName name="Slicer_year">#N/A</definedName>
  </definedNames>
  <calcPr calcId="191029"/>
  <pivotCaches>
    <pivotCache cacheId="0" r:id="rId4"/>
  </pivotCaches>
  <extLs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4" i="2" l="1"/>
  <c r="E24" i="2"/>
  <c r="F23" i="2"/>
  <c r="E23" i="2"/>
  <c r="F22" i="2"/>
  <c r="E22" i="2"/>
  <c r="F13" i="2"/>
  <c r="G13" i="2" s="1"/>
  <c r="F15" i="2"/>
  <c r="G15" i="2" s="1"/>
  <c r="E15" i="2"/>
  <c r="K2" i="2" s="1"/>
  <c r="F14" i="2"/>
  <c r="G14" i="2" s="1"/>
  <c r="E14" i="2"/>
  <c r="J2" i="2" s="1"/>
  <c r="E13" i="2"/>
  <c r="I2" i="2" s="1"/>
  <c r="F1" i="2"/>
  <c r="E6" i="2"/>
  <c r="E5" i="2"/>
  <c r="E4" i="2"/>
  <c r="G6" i="2"/>
  <c r="F6" i="2"/>
  <c r="G5" i="2"/>
  <c r="F5" i="2"/>
  <c r="G4" i="2"/>
  <c r="F4" i="2"/>
</calcChain>
</file>

<file path=xl/sharedStrings.xml><?xml version="1.0" encoding="utf-8"?>
<sst xmlns="http://schemas.openxmlformats.org/spreadsheetml/2006/main" count="156" uniqueCount="20">
  <si>
    <t>country</t>
  </si>
  <si>
    <t>year</t>
  </si>
  <si>
    <t>peppers</t>
  </si>
  <si>
    <t>tomato</t>
  </si>
  <si>
    <t>onion</t>
  </si>
  <si>
    <t>wheat</t>
  </si>
  <si>
    <t>totalFoodProduced_t</t>
  </si>
  <si>
    <t>totalWaterUsed_kL_by100</t>
  </si>
  <si>
    <t>totalEmissions_t</t>
  </si>
  <si>
    <t>totalFoodLost_t</t>
  </si>
  <si>
    <t>percentageLoss</t>
  </si>
  <si>
    <t>India</t>
  </si>
  <si>
    <t>USA</t>
  </si>
  <si>
    <t>Egypt</t>
  </si>
  <si>
    <t>Row Labels</t>
  </si>
  <si>
    <t>Grand Total</t>
  </si>
  <si>
    <t>Sum of totalEmissions_t</t>
  </si>
  <si>
    <t>Sum of totalWaterUsed_kL_by100</t>
  </si>
  <si>
    <t>Sum of percentageLoss</t>
  </si>
  <si>
    <t>Sum of totalFoodProduced_t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</si>
</sst>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3">
    <xf numFmtId="0" fontId="0" fillId="0" borderId="0" xfId="0"/>
    <xf numFmtId="0" fontId="0" fillId="0" borderId="0" xfId="0" pivotButton="1"/>
    <xf numFmtId="0" fontId="0" fillId="0" borderId="0" xfId="0" applyAlignment="1">
      <alignment horizontal="left"/>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microsoft.com/office/2007/relationships/slicerCache" Target="slicerCaches/slicerCache1.xml"/><Relationship Id="rId10" Type="http://schemas.openxmlformats.org/officeDocument/2006/relationships/calcChain" Target="calcChain.xml"/><Relationship Id="rId4" Type="http://schemas.openxmlformats.org/officeDocument/2006/relationships/pivotCacheDefinition" Target="pivotCache/pivotCacheDefinition1.xml"/><Relationship Id="rId9" Type="http://schemas.microsoft.com/office/2017/10/relationships/person" Target="persons/person.xml"/></Relationships>
</file>

<file path=xl/charts/_rels/chart1.xml.rels><?xml version="1.0" encoding="UTF-8" standalone="yes"?>
<Relationships xmlns="http://schemas.openxmlformats.org/package/2006/relationships"><Relationship Id="rId3" Type="http://schemas.openxmlformats.org/officeDocument/2006/relationships/image" Target="../media/image1.jpg"/><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image" Target="../media/image1.jpg"/><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image" Target="../media/image1.jpg"/><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8" Type="http://schemas.openxmlformats.org/officeDocument/2006/relationships/image" Target="../media/image9.sv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svg"/><Relationship Id="rId2" Type="http://schemas.openxmlformats.org/officeDocument/2006/relationships/image" Target="../media/image3.svg"/><Relationship Id="rId1" Type="http://schemas.openxmlformats.org/officeDocument/2006/relationships/image" Target="../media/image2.png"/><Relationship Id="rId6" Type="http://schemas.openxmlformats.org/officeDocument/2006/relationships/image" Target="../media/image7.svg"/><Relationship Id="rId11" Type="http://schemas.openxmlformats.org/officeDocument/2006/relationships/image" Target="../media/image12.png"/><Relationship Id="rId5" Type="http://schemas.openxmlformats.org/officeDocument/2006/relationships/image" Target="../media/image6.png"/><Relationship Id="rId10" Type="http://schemas.openxmlformats.org/officeDocument/2006/relationships/image" Target="../media/image11.svg"/><Relationship Id="rId4" Type="http://schemas.openxmlformats.org/officeDocument/2006/relationships/image" Target="../media/image5.svg"/><Relationship Id="rId9" Type="http://schemas.openxmlformats.org/officeDocument/2006/relationships/image" Target="../media/image10.png"/></Relationships>
</file>

<file path=xl/charts/_rels/chart5.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image" Target="../media/image9.svg"/><Relationship Id="rId1" Type="http://schemas.openxmlformats.org/officeDocument/2006/relationships/image" Target="../media/image8.png"/><Relationship Id="rId6" Type="http://schemas.openxmlformats.org/officeDocument/2006/relationships/image" Target="../media/image13.svg"/><Relationship Id="rId5" Type="http://schemas.openxmlformats.org/officeDocument/2006/relationships/image" Target="../media/image12.png"/><Relationship Id="rId4" Type="http://schemas.openxmlformats.org/officeDocument/2006/relationships/image" Target="../media/image11.svg"/></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pieChart>
        <c:varyColors val="1"/>
        <c:ser>
          <c:idx val="2"/>
          <c:order val="0"/>
          <c:tx>
            <c:strRef>
              <c:f>Work!$E$13</c:f>
              <c:strCache>
                <c:ptCount val="1"/>
                <c:pt idx="0">
                  <c:v>Egypt</c:v>
                </c:pt>
              </c:strCache>
            </c:strRef>
          </c:tx>
          <c:spPr>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l="-95000" t="-18000" r="-19000" b="-86000"/>
              </a:stretch>
            </a:blipFill>
          </c:spPr>
          <c:dPt>
            <c:idx val="0"/>
            <c:bubble3D val="0"/>
            <c:spPr>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l="-95000" t="-18000" r="-19000" b="-86000"/>
                </a:stretch>
              </a:blipFill>
              <a:ln>
                <a:noFill/>
              </a:ln>
              <a:effectLst/>
            </c:spPr>
            <c:extLst>
              <c:ext xmlns:c16="http://schemas.microsoft.com/office/drawing/2014/chart" uri="{C3380CC4-5D6E-409C-BE32-E72D297353CC}">
                <c16:uniqueId val="{00000001-2280-4CA4-8A58-F1720728FC23}"/>
              </c:ext>
            </c:extLst>
          </c:dPt>
          <c:dPt>
            <c:idx val="1"/>
            <c:bubble3D val="0"/>
            <c:spPr>
              <a:solidFill>
                <a:schemeClr val="tx2">
                  <a:lumMod val="90000"/>
                  <a:lumOff val="10000"/>
                </a:schemeClr>
              </a:solidFill>
              <a:ln>
                <a:noFill/>
              </a:ln>
              <a:effectLst/>
            </c:spPr>
            <c:extLst>
              <c:ext xmlns:c16="http://schemas.microsoft.com/office/drawing/2014/chart" uri="{C3380CC4-5D6E-409C-BE32-E72D297353CC}">
                <c16:uniqueId val="{00000014-0E09-481C-98E6-A95CD7C6DEE1}"/>
              </c:ext>
            </c:extLst>
          </c:dPt>
          <c:val>
            <c:numRef>
              <c:f>Work!$F$13:$G$13</c:f>
              <c:numCache>
                <c:formatCode>General</c:formatCode>
                <c:ptCount val="2"/>
                <c:pt idx="0">
                  <c:v>20</c:v>
                </c:pt>
                <c:pt idx="1">
                  <c:v>80</c:v>
                </c:pt>
              </c:numCache>
            </c:numRef>
          </c:val>
          <c:extLst>
            <c:ext xmlns:c16="http://schemas.microsoft.com/office/drawing/2014/chart" uri="{C3380CC4-5D6E-409C-BE32-E72D297353CC}">
              <c16:uniqueId val="{00000010-0E09-481C-98E6-A95CD7C6DEE1}"/>
            </c:ext>
          </c:extLst>
        </c:ser>
        <c:ser>
          <c:idx val="3"/>
          <c:order val="1"/>
          <c:tx>
            <c:strRef>
              <c:f>Work!$E$13</c:f>
              <c:strCache>
                <c:ptCount val="1"/>
                <c:pt idx="0">
                  <c:v>Egypt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12-0E09-481C-98E6-A95CD7C6DEE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13-0E09-481C-98E6-A95CD7C6DEE1}"/>
              </c:ext>
            </c:extLst>
          </c:dPt>
          <c:val>
            <c:numRef>
              <c:f>Work!$F$13:$G$13</c:f>
              <c:numCache>
                <c:formatCode>General</c:formatCode>
                <c:ptCount val="2"/>
                <c:pt idx="0">
                  <c:v>20</c:v>
                </c:pt>
                <c:pt idx="1">
                  <c:v>80</c:v>
                </c:pt>
              </c:numCache>
            </c:numRef>
          </c:val>
          <c:extLst>
            <c:ext xmlns:c16="http://schemas.microsoft.com/office/drawing/2014/chart" uri="{C3380CC4-5D6E-409C-BE32-E72D297353CC}">
              <c16:uniqueId val="{00000011-0E09-481C-98E6-A95CD7C6DEE1}"/>
            </c:ext>
          </c:extLst>
        </c:ser>
        <c:ser>
          <c:idx val="1"/>
          <c:order val="2"/>
          <c:tx>
            <c:strRef>
              <c:f>Work!$E$13</c:f>
              <c:strCache>
                <c:ptCount val="1"/>
                <c:pt idx="0">
                  <c:v>Egypt</c:v>
                </c:pt>
              </c:strCache>
            </c:strRef>
          </c:tx>
          <c:dPt>
            <c:idx val="0"/>
            <c:bubble3D val="0"/>
            <c:spPr>
              <a:solidFill>
                <a:schemeClr val="accent1">
                  <a:tint val="77000"/>
                </a:schemeClr>
              </a:solidFill>
              <a:ln>
                <a:noFill/>
              </a:ln>
              <a:effectLst/>
            </c:spPr>
            <c:extLst>
              <c:ext xmlns:c16="http://schemas.microsoft.com/office/drawing/2014/chart" uri="{C3380CC4-5D6E-409C-BE32-E72D297353CC}">
                <c16:uniqueId val="{00000009-2280-4CA4-8A58-F1720728FC23}"/>
              </c:ext>
            </c:extLst>
          </c:dPt>
          <c:dPt>
            <c:idx val="1"/>
            <c:bubble3D val="0"/>
            <c:spPr>
              <a:solidFill>
                <a:schemeClr val="accent1">
                  <a:shade val="76000"/>
                </a:schemeClr>
              </a:solidFill>
              <a:ln>
                <a:noFill/>
              </a:ln>
              <a:effectLst/>
            </c:spPr>
            <c:extLst>
              <c:ext xmlns:c16="http://schemas.microsoft.com/office/drawing/2014/chart" uri="{C3380CC4-5D6E-409C-BE32-E72D297353CC}">
                <c16:uniqueId val="{0000000B-2280-4CA4-8A58-F1720728FC23}"/>
              </c:ext>
            </c:extLst>
          </c:dPt>
          <c:val>
            <c:numRef>
              <c:f>Work!$F$13:$G$13</c:f>
              <c:numCache>
                <c:formatCode>General</c:formatCode>
                <c:ptCount val="2"/>
                <c:pt idx="0">
                  <c:v>20</c:v>
                </c:pt>
                <c:pt idx="1">
                  <c:v>80</c:v>
                </c:pt>
              </c:numCache>
            </c:numRef>
          </c:val>
          <c:extLst>
            <c:ext xmlns:c16="http://schemas.microsoft.com/office/drawing/2014/chart" uri="{C3380CC4-5D6E-409C-BE32-E72D297353CC}">
              <c16:uniqueId val="{00000009-0E09-481C-98E6-A95CD7C6DEE1}"/>
            </c:ext>
          </c:extLst>
        </c:ser>
        <c:ser>
          <c:idx val="0"/>
          <c:order val="3"/>
          <c:tx>
            <c:strRef>
              <c:f>Work!$E$13</c:f>
              <c:strCache>
                <c:ptCount val="1"/>
                <c:pt idx="0">
                  <c:v>Egypt</c:v>
                </c:pt>
              </c:strCache>
            </c:strRef>
          </c:tx>
          <c:dPt>
            <c:idx val="0"/>
            <c:bubble3D val="0"/>
            <c:spPr>
              <a:solidFill>
                <a:schemeClr val="accent1">
                  <a:tint val="77000"/>
                </a:schemeClr>
              </a:solidFill>
              <a:ln>
                <a:noFill/>
              </a:ln>
              <a:effectLst/>
            </c:spPr>
            <c:extLst>
              <c:ext xmlns:c16="http://schemas.microsoft.com/office/drawing/2014/chart" uri="{C3380CC4-5D6E-409C-BE32-E72D297353CC}">
                <c16:uniqueId val="{0000000C-0E09-481C-98E6-A95CD7C6DEE1}"/>
              </c:ext>
            </c:extLst>
          </c:dPt>
          <c:dPt>
            <c:idx val="1"/>
            <c:bubble3D val="0"/>
            <c:spPr>
              <a:solidFill>
                <a:schemeClr val="accent1">
                  <a:shade val="76000"/>
                </a:schemeClr>
              </a:solidFill>
              <a:ln>
                <a:noFill/>
              </a:ln>
              <a:effectLst/>
            </c:spPr>
            <c:extLst>
              <c:ext xmlns:c16="http://schemas.microsoft.com/office/drawing/2014/chart" uri="{C3380CC4-5D6E-409C-BE32-E72D297353CC}">
                <c16:uniqueId val="{0000000E-0E09-481C-98E6-A95CD7C6DEE1}"/>
              </c:ext>
            </c:extLst>
          </c:dPt>
          <c:val>
            <c:numRef>
              <c:f>Work!$F$13:$G$13</c:f>
              <c:numCache>
                <c:formatCode>General</c:formatCode>
                <c:ptCount val="2"/>
                <c:pt idx="0">
                  <c:v>20</c:v>
                </c:pt>
                <c:pt idx="1">
                  <c:v>80</c:v>
                </c:pt>
              </c:numCache>
            </c:numRef>
          </c:val>
          <c:extLst>
            <c:ext xmlns:c16="http://schemas.microsoft.com/office/drawing/2014/chart" uri="{C3380CC4-5D6E-409C-BE32-E72D297353CC}">
              <c16:uniqueId val="{0000000F-0E09-481C-98E6-A95CD7C6DEE1}"/>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chart>
  <c:spPr>
    <a:noFill/>
    <a:ln w="12700" cap="flat" cmpd="sng" algn="ctr">
      <a:noFill/>
      <a:prstDash val="solid"/>
      <a:round/>
    </a:ln>
    <a:effectLst/>
  </c:spPr>
  <c:txPr>
    <a:bodyPr/>
    <a:lstStyle/>
    <a:p>
      <a:pPr>
        <a:defRPr/>
      </a:pPr>
      <a:endParaRPr lang="en-FI"/>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pieChart>
        <c:varyColors val="1"/>
        <c:ser>
          <c:idx val="1"/>
          <c:order val="0"/>
          <c:tx>
            <c:strRef>
              <c:f>Work!$E$14</c:f>
              <c:strCache>
                <c:ptCount val="1"/>
                <c:pt idx="0">
                  <c:v>India</c:v>
                </c:pt>
              </c:strCache>
            </c:strRef>
          </c:tx>
          <c:dPt>
            <c:idx val="0"/>
            <c:bubble3D val="0"/>
            <c:spPr>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l="-95000" t="-18000" r="-19000" b="-86000"/>
                </a:stretch>
              </a:blipFill>
              <a:ln>
                <a:noFill/>
              </a:ln>
              <a:effectLst/>
            </c:spPr>
            <c:extLst>
              <c:ext xmlns:c16="http://schemas.microsoft.com/office/drawing/2014/chart" uri="{C3380CC4-5D6E-409C-BE32-E72D297353CC}">
                <c16:uniqueId val="{00000006-A39C-4396-812B-0AD2865102A5}"/>
              </c:ext>
            </c:extLst>
          </c:dPt>
          <c:dPt>
            <c:idx val="1"/>
            <c:bubble3D val="0"/>
            <c:spPr>
              <a:solidFill>
                <a:schemeClr val="tx2">
                  <a:lumMod val="90000"/>
                  <a:lumOff val="10000"/>
                </a:schemeClr>
              </a:solidFill>
              <a:ln>
                <a:noFill/>
              </a:ln>
              <a:effectLst/>
            </c:spPr>
            <c:extLst>
              <c:ext xmlns:c16="http://schemas.microsoft.com/office/drawing/2014/chart" uri="{C3380CC4-5D6E-409C-BE32-E72D297353CC}">
                <c16:uniqueId val="{00000007-A39C-4396-812B-0AD2865102A5}"/>
              </c:ext>
            </c:extLst>
          </c:dPt>
          <c:val>
            <c:numRef>
              <c:f>Work!$F$14:$G$14</c:f>
              <c:numCache>
                <c:formatCode>General</c:formatCode>
                <c:ptCount val="2"/>
                <c:pt idx="0">
                  <c:v>27.881301199999999</c:v>
                </c:pt>
                <c:pt idx="1">
                  <c:v>72.118698800000004</c:v>
                </c:pt>
              </c:numCache>
            </c:numRef>
          </c:val>
          <c:extLst>
            <c:ext xmlns:c16="http://schemas.microsoft.com/office/drawing/2014/chart" uri="{C3380CC4-5D6E-409C-BE32-E72D297353CC}">
              <c16:uniqueId val="{00000000-A39C-4396-812B-0AD2865102A5}"/>
            </c:ext>
          </c:extLst>
        </c:ser>
        <c:ser>
          <c:idx val="0"/>
          <c:order val="1"/>
          <c:tx>
            <c:strRef>
              <c:f>Work!$E$13</c:f>
              <c:strCache>
                <c:ptCount val="1"/>
                <c:pt idx="0">
                  <c:v>Egypt</c:v>
                </c:pt>
              </c:strCache>
            </c:strRef>
          </c:tx>
          <c:dPt>
            <c:idx val="0"/>
            <c:bubble3D val="0"/>
            <c:spPr>
              <a:solidFill>
                <a:schemeClr val="accent1">
                  <a:tint val="77000"/>
                </a:schemeClr>
              </a:solidFill>
              <a:ln>
                <a:noFill/>
              </a:ln>
              <a:effectLst/>
            </c:spPr>
            <c:extLst>
              <c:ext xmlns:c16="http://schemas.microsoft.com/office/drawing/2014/chart" uri="{C3380CC4-5D6E-409C-BE32-E72D297353CC}">
                <c16:uniqueId val="{00000002-A39C-4396-812B-0AD2865102A5}"/>
              </c:ext>
            </c:extLst>
          </c:dPt>
          <c:dPt>
            <c:idx val="1"/>
            <c:bubble3D val="0"/>
            <c:spPr>
              <a:solidFill>
                <a:schemeClr val="accent1">
                  <a:shade val="76000"/>
                </a:schemeClr>
              </a:solidFill>
              <a:ln>
                <a:noFill/>
              </a:ln>
              <a:effectLst/>
            </c:spPr>
            <c:extLst>
              <c:ext xmlns:c16="http://schemas.microsoft.com/office/drawing/2014/chart" uri="{C3380CC4-5D6E-409C-BE32-E72D297353CC}">
                <c16:uniqueId val="{00000004-A39C-4396-812B-0AD2865102A5}"/>
              </c:ext>
            </c:extLst>
          </c:dPt>
          <c:val>
            <c:numRef>
              <c:f>Work!$F$13:$G$13</c:f>
              <c:numCache>
                <c:formatCode>General</c:formatCode>
                <c:ptCount val="2"/>
                <c:pt idx="0">
                  <c:v>20</c:v>
                </c:pt>
                <c:pt idx="1">
                  <c:v>80</c:v>
                </c:pt>
              </c:numCache>
            </c:numRef>
          </c:val>
          <c:extLst>
            <c:ext xmlns:c16="http://schemas.microsoft.com/office/drawing/2014/chart" uri="{C3380CC4-5D6E-409C-BE32-E72D297353CC}">
              <c16:uniqueId val="{00000005-A39C-4396-812B-0AD2865102A5}"/>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chart>
  <c:spPr>
    <a:noFill/>
    <a:ln w="12700" cap="flat" cmpd="sng" algn="ctr">
      <a:noFill/>
      <a:prstDash val="solid"/>
      <a:round/>
    </a:ln>
    <a:effectLst/>
  </c:spPr>
  <c:txPr>
    <a:bodyPr/>
    <a:lstStyle/>
    <a:p>
      <a:pPr>
        <a:defRPr/>
      </a:pPr>
      <a:endParaRPr lang="en-FI"/>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pieChart>
        <c:varyColors val="1"/>
        <c:ser>
          <c:idx val="0"/>
          <c:order val="0"/>
          <c:tx>
            <c:strRef>
              <c:f>Work!$E$15</c:f>
              <c:strCache>
                <c:ptCount val="1"/>
                <c:pt idx="0">
                  <c:v>USA</c:v>
                </c:pt>
              </c:strCache>
            </c:strRef>
          </c:tx>
          <c:spPr>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l="-116000" t="-22000" r="-52000" b="-82000"/>
              </a:stretch>
            </a:blipFill>
          </c:spPr>
          <c:dPt>
            <c:idx val="0"/>
            <c:bubble3D val="0"/>
            <c:spPr>
              <a:blipFill dpi="0" rotWithShape="1">
                <a:blip xmlns:r="http://schemas.openxmlformats.org/officeDocument/2006/relationships" r:embed="rId3">
                  <a:extLst>
                    <a:ext uri="{28A0092B-C50C-407E-A947-70E740481C1C}">
                      <a14:useLocalDpi xmlns:a14="http://schemas.microsoft.com/office/drawing/2010/main" val="0"/>
                    </a:ext>
                  </a:extLst>
                </a:blip>
                <a:srcRect/>
                <a:stretch>
                  <a:fillRect l="-95000" t="-18000" r="-19000" b="-86000"/>
                </a:stretch>
              </a:blipFill>
              <a:ln>
                <a:noFill/>
              </a:ln>
              <a:effectLst/>
            </c:spPr>
            <c:extLst>
              <c:ext xmlns:c16="http://schemas.microsoft.com/office/drawing/2014/chart" uri="{C3380CC4-5D6E-409C-BE32-E72D297353CC}">
                <c16:uniqueId val="{00000002-24E2-4C7A-AE4E-E0C5ABBD7286}"/>
              </c:ext>
            </c:extLst>
          </c:dPt>
          <c:dPt>
            <c:idx val="1"/>
            <c:bubble3D val="0"/>
            <c:spPr>
              <a:solidFill>
                <a:schemeClr val="tx2">
                  <a:lumMod val="90000"/>
                  <a:lumOff val="10000"/>
                </a:schemeClr>
              </a:solidFill>
              <a:ln>
                <a:noFill/>
              </a:ln>
              <a:effectLst/>
            </c:spPr>
            <c:extLst>
              <c:ext xmlns:c16="http://schemas.microsoft.com/office/drawing/2014/chart" uri="{C3380CC4-5D6E-409C-BE32-E72D297353CC}">
                <c16:uniqueId val="{00000004-24E2-4C7A-AE4E-E0C5ABBD7286}"/>
              </c:ext>
            </c:extLst>
          </c:dPt>
          <c:val>
            <c:numRef>
              <c:f>Work!$F$15:$G$15</c:f>
              <c:numCache>
                <c:formatCode>General</c:formatCode>
                <c:ptCount val="2"/>
                <c:pt idx="0">
                  <c:v>20</c:v>
                </c:pt>
                <c:pt idx="1">
                  <c:v>80</c:v>
                </c:pt>
              </c:numCache>
            </c:numRef>
          </c:val>
          <c:extLst>
            <c:ext xmlns:c16="http://schemas.microsoft.com/office/drawing/2014/chart" uri="{C3380CC4-5D6E-409C-BE32-E72D297353CC}">
              <c16:uniqueId val="{00000005-24E2-4C7A-AE4E-E0C5ABBD7286}"/>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chart>
  <c:spPr>
    <a:noFill/>
    <a:ln w="12700" cap="flat" cmpd="sng" algn="ctr">
      <a:noFill/>
      <a:prstDash val="solid"/>
      <a:round/>
    </a:ln>
    <a:effectLst/>
  </c:spPr>
  <c:txPr>
    <a:bodyPr/>
    <a:lstStyle/>
    <a:p>
      <a:pPr>
        <a:defRPr/>
      </a:pPr>
      <a:endParaRPr lang="en-FI"/>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3"/>
          <c:order val="0"/>
          <c:spPr>
            <a:ln w="38100" cap="rnd">
              <a:noFill/>
              <a:round/>
            </a:ln>
            <a:effectLst/>
          </c:spPr>
          <c:marker>
            <c:spPr>
              <a:ln>
                <a:noFill/>
              </a:ln>
            </c:spPr>
          </c:marker>
          <c:dPt>
            <c:idx val="0"/>
            <c:marker>
              <c:symbol val="picture"/>
              <c:spPr>
                <a:blipFill>
                  <a:blip xmlns:r="http://schemas.openxmlformats.org/officeDocument/2006/relationships" r:embed="rId1">
                    <a:extLst>
                      <a:ext uri="{96DAC541-7B7A-43D3-8B79-37D633B846F1}">
                        <asvg:svgBlip xmlns:asvg="http://schemas.microsoft.com/office/drawing/2016/SVG/main" r:embed="rId2"/>
                      </a:ext>
                    </a:extLst>
                  </a:blip>
                  <a:stretch>
                    <a:fillRect/>
                  </a:stretch>
                </a:blipFill>
                <a:ln>
                  <a:noFill/>
                </a:ln>
              </c:spPr>
            </c:marker>
            <c:bubble3D val="0"/>
            <c:extLst>
              <c:ext xmlns:c16="http://schemas.microsoft.com/office/drawing/2014/chart" uri="{C3380CC4-5D6E-409C-BE32-E72D297353CC}">
                <c16:uniqueId val="{00000003-CEF8-4B99-B42F-06BFD944265E}"/>
              </c:ext>
            </c:extLst>
          </c:dPt>
          <c:dPt>
            <c:idx val="1"/>
            <c:marker>
              <c:symbol val="picture"/>
              <c:spPr>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a:ln>
                  <a:noFill/>
                </a:ln>
              </c:spPr>
            </c:marker>
            <c:bubble3D val="0"/>
            <c:extLst>
              <c:ext xmlns:c16="http://schemas.microsoft.com/office/drawing/2014/chart" uri="{C3380CC4-5D6E-409C-BE32-E72D297353CC}">
                <c16:uniqueId val="{00000004-CEF8-4B99-B42F-06BFD944265E}"/>
              </c:ext>
            </c:extLst>
          </c:dPt>
          <c:dPt>
            <c:idx val="2"/>
            <c:marker>
              <c:symbol val="picture"/>
              <c:spPr>
                <a:blipFill>
                  <a:blip xmlns:r="http://schemas.openxmlformats.org/officeDocument/2006/relationships" r:embed="rId5">
                    <a:extLst>
                      <a:ext uri="{96DAC541-7B7A-43D3-8B79-37D633B846F1}">
                        <asvg:svgBlip xmlns:asvg="http://schemas.microsoft.com/office/drawing/2016/SVG/main" r:embed="rId6"/>
                      </a:ext>
                    </a:extLst>
                  </a:blip>
                  <a:stretch>
                    <a:fillRect/>
                  </a:stretch>
                </a:blipFill>
                <a:ln>
                  <a:noFill/>
                </a:ln>
              </c:spPr>
            </c:marker>
            <c:bubble3D val="0"/>
            <c:extLst>
              <c:ext xmlns:c16="http://schemas.microsoft.com/office/drawing/2014/chart" uri="{C3380CC4-5D6E-409C-BE32-E72D297353CC}">
                <c16:uniqueId val="{00000005-CEF8-4B99-B42F-06BFD944265E}"/>
              </c:ext>
            </c:extLst>
          </c:dPt>
          <c:xVal>
            <c:numRef>
              <c:f>Work!$F$4:$F$6</c:f>
              <c:numCache>
                <c:formatCode>General</c:formatCode>
                <c:ptCount val="3"/>
                <c:pt idx="0">
                  <c:v>119.722521</c:v>
                </c:pt>
                <c:pt idx="1">
                  <c:v>70.209464600000004</c:v>
                </c:pt>
                <c:pt idx="2">
                  <c:v>257.20578569999998</c:v>
                </c:pt>
              </c:numCache>
            </c:numRef>
          </c:xVal>
          <c:yVal>
            <c:numRef>
              <c:f>Work!$G$4:$G$6</c:f>
              <c:numCache>
                <c:formatCode>General</c:formatCode>
                <c:ptCount val="3"/>
                <c:pt idx="0">
                  <c:v>244.15173429999999</c:v>
                </c:pt>
                <c:pt idx="1">
                  <c:v>134.40023249999999</c:v>
                </c:pt>
                <c:pt idx="2">
                  <c:v>454.60852920000002</c:v>
                </c:pt>
              </c:numCache>
            </c:numRef>
          </c:yVal>
          <c:smooth val="0"/>
          <c:extLst>
            <c:ext xmlns:c16="http://schemas.microsoft.com/office/drawing/2014/chart" uri="{C3380CC4-5D6E-409C-BE32-E72D297353CC}">
              <c16:uniqueId val="{00000019-2E36-4E84-A8EF-1727A13CF606}"/>
            </c:ext>
          </c:extLst>
        </c:ser>
        <c:ser>
          <c:idx val="4"/>
          <c:order val="1"/>
          <c:spPr>
            <a:ln w="38100" cap="rnd">
              <a:noFill/>
              <a:round/>
            </a:ln>
            <a:effectLst/>
          </c:spPr>
          <c:xVal>
            <c:numRef>
              <c:f>Work!$F$4:$F$6</c:f>
              <c:numCache>
                <c:formatCode>General</c:formatCode>
                <c:ptCount val="3"/>
                <c:pt idx="0">
                  <c:v>119.722521</c:v>
                </c:pt>
                <c:pt idx="1">
                  <c:v>70.209464600000004</c:v>
                </c:pt>
                <c:pt idx="2">
                  <c:v>257.20578569999998</c:v>
                </c:pt>
              </c:numCache>
            </c:numRef>
          </c:xVal>
          <c:yVal>
            <c:numRef>
              <c:f>Work!$G$4:$G$6</c:f>
              <c:numCache>
                <c:formatCode>General</c:formatCode>
                <c:ptCount val="3"/>
                <c:pt idx="0">
                  <c:v>244.15173429999999</c:v>
                </c:pt>
                <c:pt idx="1">
                  <c:v>134.40023249999999</c:v>
                </c:pt>
                <c:pt idx="2">
                  <c:v>454.60852920000002</c:v>
                </c:pt>
              </c:numCache>
            </c:numRef>
          </c:yVal>
          <c:smooth val="0"/>
          <c:extLst>
            <c:ext xmlns:c16="http://schemas.microsoft.com/office/drawing/2014/chart" uri="{C3380CC4-5D6E-409C-BE32-E72D297353CC}">
              <c16:uniqueId val="{0000001A-2E36-4E84-A8EF-1727A13CF606}"/>
            </c:ext>
          </c:extLst>
        </c:ser>
        <c:ser>
          <c:idx val="5"/>
          <c:order val="2"/>
          <c:spPr>
            <a:ln w="38100" cap="rnd">
              <a:noFill/>
              <a:round/>
            </a:ln>
            <a:effectLst/>
          </c:spPr>
          <c:xVal>
            <c:numRef>
              <c:f>Work!$F$4:$F$6</c:f>
              <c:numCache>
                <c:formatCode>General</c:formatCode>
                <c:ptCount val="3"/>
                <c:pt idx="0">
                  <c:v>119.722521</c:v>
                </c:pt>
                <c:pt idx="1">
                  <c:v>70.209464600000004</c:v>
                </c:pt>
                <c:pt idx="2">
                  <c:v>257.20578569999998</c:v>
                </c:pt>
              </c:numCache>
            </c:numRef>
          </c:xVal>
          <c:yVal>
            <c:numRef>
              <c:f>Work!$G$4:$G$6</c:f>
              <c:numCache>
                <c:formatCode>General</c:formatCode>
                <c:ptCount val="3"/>
                <c:pt idx="0">
                  <c:v>244.15173429999999</c:v>
                </c:pt>
                <c:pt idx="1">
                  <c:v>134.40023249999999</c:v>
                </c:pt>
                <c:pt idx="2">
                  <c:v>454.60852920000002</c:v>
                </c:pt>
              </c:numCache>
            </c:numRef>
          </c:yVal>
          <c:smooth val="0"/>
          <c:extLst>
            <c:ext xmlns:c16="http://schemas.microsoft.com/office/drawing/2014/chart" uri="{C3380CC4-5D6E-409C-BE32-E72D297353CC}">
              <c16:uniqueId val="{0000001B-2E36-4E84-A8EF-1727A13CF606}"/>
            </c:ext>
          </c:extLst>
        </c:ser>
        <c:ser>
          <c:idx val="1"/>
          <c:order val="3"/>
          <c:spPr>
            <a:ln w="38100" cap="rnd">
              <a:noFill/>
              <a:round/>
            </a:ln>
            <a:effectLst/>
          </c:spPr>
          <c:xVal>
            <c:numRef>
              <c:f>Work!$F$4:$F$6</c:f>
              <c:numCache>
                <c:formatCode>General</c:formatCode>
                <c:ptCount val="3"/>
                <c:pt idx="0">
                  <c:v>119.722521</c:v>
                </c:pt>
                <c:pt idx="1">
                  <c:v>70.209464600000004</c:v>
                </c:pt>
                <c:pt idx="2">
                  <c:v>257.20578569999998</c:v>
                </c:pt>
              </c:numCache>
            </c:numRef>
          </c:xVal>
          <c:yVal>
            <c:numRef>
              <c:f>Work!$G$4:$G$6</c:f>
              <c:numCache>
                <c:formatCode>General</c:formatCode>
                <c:ptCount val="3"/>
                <c:pt idx="0">
                  <c:v>244.15173429999999</c:v>
                </c:pt>
                <c:pt idx="1">
                  <c:v>134.40023249999999</c:v>
                </c:pt>
                <c:pt idx="2">
                  <c:v>454.60852920000002</c:v>
                </c:pt>
              </c:numCache>
            </c:numRef>
          </c:yVal>
          <c:smooth val="0"/>
          <c:extLst>
            <c:ext xmlns:c16="http://schemas.microsoft.com/office/drawing/2014/chart" uri="{C3380CC4-5D6E-409C-BE32-E72D297353CC}">
              <c16:uniqueId val="{00000011-2E36-4E84-A8EF-1727A13CF606}"/>
            </c:ext>
          </c:extLst>
        </c:ser>
        <c:ser>
          <c:idx val="2"/>
          <c:order val="4"/>
          <c:spPr>
            <a:ln w="38100" cap="rnd">
              <a:noFill/>
              <a:round/>
            </a:ln>
            <a:effectLst/>
          </c:spPr>
          <c:xVal>
            <c:numRef>
              <c:f>Work!$F$4:$F$6</c:f>
              <c:numCache>
                <c:formatCode>General</c:formatCode>
                <c:ptCount val="3"/>
                <c:pt idx="0">
                  <c:v>119.722521</c:v>
                </c:pt>
                <c:pt idx="1">
                  <c:v>70.209464600000004</c:v>
                </c:pt>
                <c:pt idx="2">
                  <c:v>257.20578569999998</c:v>
                </c:pt>
              </c:numCache>
            </c:numRef>
          </c:xVal>
          <c:yVal>
            <c:numRef>
              <c:f>Work!$G$4:$G$6</c:f>
              <c:numCache>
                <c:formatCode>General</c:formatCode>
                <c:ptCount val="3"/>
                <c:pt idx="0">
                  <c:v>244.15173429999999</c:v>
                </c:pt>
                <c:pt idx="1">
                  <c:v>134.40023249999999</c:v>
                </c:pt>
                <c:pt idx="2">
                  <c:v>454.60852920000002</c:v>
                </c:pt>
              </c:numCache>
            </c:numRef>
          </c:yVal>
          <c:smooth val="0"/>
          <c:extLst>
            <c:ext xmlns:c16="http://schemas.microsoft.com/office/drawing/2014/chart" uri="{C3380CC4-5D6E-409C-BE32-E72D297353CC}">
              <c16:uniqueId val="{00000013-2E36-4E84-A8EF-1727A13CF606}"/>
            </c:ext>
          </c:extLst>
        </c:ser>
        <c:ser>
          <c:idx val="0"/>
          <c:order val="5"/>
          <c:spPr>
            <a:ln w="38100" cap="rnd">
              <a:noFill/>
              <a:round/>
            </a:ln>
            <a:effectLst/>
          </c:spPr>
          <c:marker>
            <c:symbol val="circle"/>
            <c:size val="50"/>
            <c:spPr>
              <a:solidFill>
                <a:schemeClr val="accent1"/>
              </a:solidFill>
              <a:ln w="9525">
                <a:noFill/>
              </a:ln>
              <a:effectLst/>
            </c:spPr>
          </c:marker>
          <c:dPt>
            <c:idx val="0"/>
            <c:marker>
              <c:symbol val="picture"/>
              <c:spPr>
                <a:blipFill>
                  <a:blip xmlns:r="http://schemas.openxmlformats.org/officeDocument/2006/relationships" r:embed="rId7">
                    <a:extLst>
                      <a:ext uri="{96DAC541-7B7A-43D3-8B79-37D633B846F1}">
                        <asvg:svgBlip xmlns:asvg="http://schemas.microsoft.com/office/drawing/2016/SVG/main" r:embed="rId8"/>
                      </a:ext>
                    </a:extLst>
                  </a:blip>
                  <a:stretch>
                    <a:fillRect/>
                  </a:stretch>
                </a:blipFill>
                <a:ln w="9525">
                  <a:noFill/>
                </a:ln>
                <a:effectLst/>
              </c:spPr>
            </c:marker>
            <c:bubble3D val="0"/>
            <c:extLst>
              <c:ext xmlns:c16="http://schemas.microsoft.com/office/drawing/2014/chart" uri="{C3380CC4-5D6E-409C-BE32-E72D297353CC}">
                <c16:uniqueId val="{00000015-2E36-4E84-A8EF-1727A13CF606}"/>
              </c:ext>
            </c:extLst>
          </c:dPt>
          <c:dPt>
            <c:idx val="1"/>
            <c:marker>
              <c:symbol val="picture"/>
              <c:spPr>
                <a:blipFill>
                  <a:blip xmlns:r="http://schemas.openxmlformats.org/officeDocument/2006/relationships" r:embed="rId9">
                    <a:extLst>
                      <a:ext uri="{96DAC541-7B7A-43D3-8B79-37D633B846F1}">
                        <asvg:svgBlip xmlns:asvg="http://schemas.microsoft.com/office/drawing/2016/SVG/main" r:embed="rId10"/>
                      </a:ext>
                    </a:extLst>
                  </a:blip>
                  <a:stretch>
                    <a:fillRect/>
                  </a:stretch>
                </a:blipFill>
                <a:ln w="9525">
                  <a:noFill/>
                </a:ln>
                <a:effectLst/>
              </c:spPr>
            </c:marker>
            <c:bubble3D val="0"/>
            <c:extLst>
              <c:ext xmlns:c16="http://schemas.microsoft.com/office/drawing/2014/chart" uri="{C3380CC4-5D6E-409C-BE32-E72D297353CC}">
                <c16:uniqueId val="{00000016-2E36-4E84-A8EF-1727A13CF606}"/>
              </c:ext>
            </c:extLst>
          </c:dPt>
          <c:dPt>
            <c:idx val="2"/>
            <c:marker>
              <c:symbol val="picture"/>
              <c:spPr>
                <a:blipFill>
                  <a:blip xmlns:r="http://schemas.openxmlformats.org/officeDocument/2006/relationships" r:embed="rId11">
                    <a:extLst>
                      <a:ext uri="{96DAC541-7B7A-43D3-8B79-37D633B846F1}">
                        <asvg:svgBlip xmlns:asvg="http://schemas.microsoft.com/office/drawing/2016/SVG/main" r:embed="rId12"/>
                      </a:ext>
                    </a:extLst>
                  </a:blip>
                  <a:stretch>
                    <a:fillRect/>
                  </a:stretch>
                </a:blipFill>
                <a:ln w="9525">
                  <a:noFill/>
                </a:ln>
                <a:effectLst/>
              </c:spPr>
            </c:marker>
            <c:bubble3D val="0"/>
            <c:extLst>
              <c:ext xmlns:c16="http://schemas.microsoft.com/office/drawing/2014/chart" uri="{C3380CC4-5D6E-409C-BE32-E72D297353CC}">
                <c16:uniqueId val="{00000017-2E36-4E84-A8EF-1727A13CF606}"/>
              </c:ext>
            </c:extLst>
          </c:dPt>
          <c:dLbls>
            <c:dLbl>
              <c:idx val="0"/>
              <c:tx>
                <c:rich>
                  <a:bodyPr/>
                  <a:lstStyle/>
                  <a:p>
                    <a:fld id="{4358B79C-B573-4546-957E-19C344757318}" type="CELLRANGE">
                      <a:rPr lang="en-FI"/>
                      <a:pPr/>
                      <a:t>[CELLRANGE]</a:t>
                    </a:fld>
                    <a:endParaRPr lang="en-FI"/>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2E36-4E84-A8EF-1727A13CF606}"/>
                </c:ext>
              </c:extLst>
            </c:dLbl>
            <c:dLbl>
              <c:idx val="1"/>
              <c:tx>
                <c:rich>
                  <a:bodyPr/>
                  <a:lstStyle/>
                  <a:p>
                    <a:fld id="{DFC250B1-C562-414B-B090-931D15D70D6F}" type="CELLRANGE">
                      <a:rPr lang="en-FI"/>
                      <a:pPr/>
                      <a:t>[CELLRANGE]</a:t>
                    </a:fld>
                    <a:endParaRPr lang="en-FI"/>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2E36-4E84-A8EF-1727A13CF606}"/>
                </c:ext>
              </c:extLst>
            </c:dLbl>
            <c:dLbl>
              <c:idx val="2"/>
              <c:tx>
                <c:rich>
                  <a:bodyPr/>
                  <a:lstStyle/>
                  <a:p>
                    <a:fld id="{B2079029-5AB5-4209-A354-AC98F1B21876}" type="CELLRANGE">
                      <a:rPr lang="en-FI"/>
                      <a:pPr/>
                      <a:t>[CELLRANGE]</a:t>
                    </a:fld>
                    <a:endParaRPr lang="en-FI"/>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2E36-4E84-A8EF-1727A13CF606}"/>
                </c:ext>
              </c:extLst>
            </c:dLbl>
            <c:spPr>
              <a:noFill/>
              <a:ln>
                <a:noFill/>
              </a:ln>
              <a:effectLst/>
            </c:spPr>
            <c:txPr>
              <a:bodyPr rot="0" spcFirstLastPara="1" vertOverflow="ellipsis" vert="horz" wrap="square" lIns="38100" tIns="19050" rIns="38100" bIns="19050" anchor="ctr" anchorCtr="1">
                <a:spAutoFit/>
              </a:bodyPr>
              <a:lstStyle/>
              <a:p>
                <a:pPr>
                  <a:defRPr sz="1500" b="0" i="0" u="none" strike="noStrike" kern="1200" baseline="0">
                    <a:solidFill>
                      <a:schemeClr val="tx1">
                        <a:lumMod val="75000"/>
                        <a:lumOff val="25000"/>
                      </a:schemeClr>
                    </a:solidFill>
                    <a:latin typeface="+mn-lt"/>
                    <a:ea typeface="+mn-ea"/>
                    <a:cs typeface="+mn-cs"/>
                  </a:defRPr>
                </a:pPr>
                <a:endParaRPr lang="en-FI"/>
              </a:p>
            </c:txPr>
            <c:dLblPos val="b"/>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Work!$F$4:$F$6</c:f>
              <c:numCache>
                <c:formatCode>General</c:formatCode>
                <c:ptCount val="3"/>
                <c:pt idx="0">
                  <c:v>119.722521</c:v>
                </c:pt>
                <c:pt idx="1">
                  <c:v>70.209464600000004</c:v>
                </c:pt>
                <c:pt idx="2">
                  <c:v>257.20578569999998</c:v>
                </c:pt>
              </c:numCache>
            </c:numRef>
          </c:xVal>
          <c:yVal>
            <c:numRef>
              <c:f>Work!$G$4:$G$6</c:f>
              <c:numCache>
                <c:formatCode>General</c:formatCode>
                <c:ptCount val="3"/>
                <c:pt idx="0">
                  <c:v>244.15173429999999</c:v>
                </c:pt>
                <c:pt idx="1">
                  <c:v>134.40023249999999</c:v>
                </c:pt>
                <c:pt idx="2">
                  <c:v>454.60852920000002</c:v>
                </c:pt>
              </c:numCache>
            </c:numRef>
          </c:yVal>
          <c:smooth val="0"/>
          <c:extLst>
            <c:ext xmlns:c15="http://schemas.microsoft.com/office/drawing/2012/chart" uri="{02D57815-91ED-43cb-92C2-25804820EDAC}">
              <c15:datalabelsRange>
                <c15:f>Work!$E$4:$E$6</c15:f>
                <c15:dlblRangeCache>
                  <c:ptCount val="3"/>
                  <c:pt idx="0">
                    <c:v>Egypt</c:v>
                  </c:pt>
                  <c:pt idx="1">
                    <c:v>India</c:v>
                  </c:pt>
                  <c:pt idx="2">
                    <c:v>USA</c:v>
                  </c:pt>
                </c15:dlblRangeCache>
              </c15:datalabelsRange>
            </c:ext>
            <c:ext xmlns:c16="http://schemas.microsoft.com/office/drawing/2014/chart" uri="{C3380CC4-5D6E-409C-BE32-E72D297353CC}">
              <c16:uniqueId val="{00000018-2E36-4E84-A8EF-1727A13CF606}"/>
            </c:ext>
          </c:extLst>
        </c:ser>
        <c:dLbls>
          <c:showLegendKey val="0"/>
          <c:showVal val="0"/>
          <c:showCatName val="0"/>
          <c:showSerName val="0"/>
          <c:showPercent val="0"/>
          <c:showBubbleSize val="0"/>
        </c:dLbls>
        <c:axId val="1928267759"/>
        <c:axId val="1928265359"/>
      </c:scatterChart>
      <c:valAx>
        <c:axId val="1928267759"/>
        <c:scaling>
          <c:orientation val="minMax"/>
          <c:max val="300"/>
        </c:scaling>
        <c:delete val="0"/>
        <c:axPos val="b"/>
        <c:majorGridlines>
          <c:spPr>
            <a:ln w="9525" cap="flat" cmpd="sng" algn="ctr">
              <a:solidFill>
                <a:schemeClr val="tx1">
                  <a:lumMod val="15000"/>
                  <a:lumOff val="85000"/>
                </a:schemeClr>
              </a:solidFill>
              <a:round/>
            </a:ln>
            <a:effectLst/>
          </c:spPr>
        </c:majorGridlines>
        <c:title>
          <c:tx>
            <c:rich>
              <a:bodyPr/>
              <a:lstStyle/>
              <a:p>
                <a:pPr>
                  <a:defRPr/>
                </a:pPr>
                <a:r>
                  <a:rPr lang="en-GB" sz="1500"/>
                  <a:t>Total Emissions in CO2 eq (tonnes)</a:t>
                </a:r>
                <a:endParaRPr lang="en-FI" sz="1500"/>
              </a:p>
            </c:rich>
          </c:tx>
          <c:overlay val="0"/>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500" b="0" i="0" u="none" strike="noStrike" kern="1200" baseline="0">
                <a:solidFill>
                  <a:schemeClr val="tx1">
                    <a:lumMod val="65000"/>
                    <a:lumOff val="35000"/>
                  </a:schemeClr>
                </a:solidFill>
                <a:latin typeface="+mn-lt"/>
                <a:ea typeface="+mn-ea"/>
                <a:cs typeface="+mn-cs"/>
              </a:defRPr>
            </a:pPr>
            <a:endParaRPr lang="en-FI"/>
          </a:p>
        </c:txPr>
        <c:crossAx val="1928265359"/>
        <c:crosses val="autoZero"/>
        <c:crossBetween val="midCat"/>
      </c:valAx>
      <c:valAx>
        <c:axId val="1928265359"/>
        <c:scaling>
          <c:orientation val="minMax"/>
          <c:max val="500"/>
        </c:scaling>
        <c:delete val="0"/>
        <c:axPos val="l"/>
        <c:majorGridlines>
          <c:spPr>
            <a:ln w="9525" cap="flat" cmpd="sng" algn="ctr">
              <a:solidFill>
                <a:schemeClr val="tx1">
                  <a:lumMod val="15000"/>
                  <a:lumOff val="85000"/>
                </a:schemeClr>
              </a:solidFill>
              <a:round/>
            </a:ln>
            <a:effectLst/>
          </c:spPr>
        </c:majorGridlines>
        <c:title>
          <c:tx>
            <c:rich>
              <a:bodyPr/>
              <a:lstStyle/>
              <a:p>
                <a:pPr>
                  <a:defRPr/>
                </a:pPr>
                <a:r>
                  <a:rPr lang="en-GB" sz="1500"/>
                  <a:t>Total water</a:t>
                </a:r>
                <a:r>
                  <a:rPr lang="en-GB" sz="1500" baseline="0"/>
                  <a:t> used (100kL)</a:t>
                </a:r>
                <a:endParaRPr lang="en-FI" sz="1500"/>
              </a:p>
            </c:rich>
          </c:tx>
          <c:overlay val="0"/>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500" b="0" i="0" u="none" strike="noStrike" kern="1200" baseline="0">
                <a:solidFill>
                  <a:schemeClr val="tx1">
                    <a:lumMod val="65000"/>
                    <a:lumOff val="35000"/>
                  </a:schemeClr>
                </a:solidFill>
                <a:latin typeface="+mn-lt"/>
                <a:ea typeface="+mn-ea"/>
                <a:cs typeface="+mn-cs"/>
              </a:defRPr>
            </a:pPr>
            <a:endParaRPr lang="en-FI"/>
          </a:p>
        </c:txPr>
        <c:crossAx val="1928267759"/>
        <c:crosses val="autoZero"/>
        <c:crossBetween val="midCat"/>
      </c:valAx>
      <c:spPr>
        <a:noFill/>
        <a:ln>
          <a:noFill/>
        </a:ln>
        <a:effectLst/>
      </c:spPr>
    </c:plotArea>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FI"/>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Work!$F$1</c:f>
          <c:strCache>
            <c:ptCount val="1"/>
            <c:pt idx="0">
              <c:v>2019</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FI"/>
        </a:p>
      </c:txPr>
    </c:title>
    <c:autoTitleDeleted val="0"/>
    <c:plotArea>
      <c:layout/>
      <c:scatterChart>
        <c:scatterStyle val="lineMarker"/>
        <c:varyColors val="0"/>
        <c:ser>
          <c:idx val="3"/>
          <c:order val="0"/>
          <c:spPr>
            <a:ln w="38100" cap="rnd">
              <a:noFill/>
              <a:round/>
            </a:ln>
            <a:effectLst/>
          </c:spPr>
          <c:xVal>
            <c:numRef>
              <c:f>Work!$F$4:$F$6</c:f>
              <c:numCache>
                <c:formatCode>General</c:formatCode>
                <c:ptCount val="3"/>
                <c:pt idx="0">
                  <c:v>119.722521</c:v>
                </c:pt>
                <c:pt idx="1">
                  <c:v>70.209464600000004</c:v>
                </c:pt>
                <c:pt idx="2">
                  <c:v>257.20578569999998</c:v>
                </c:pt>
              </c:numCache>
            </c:numRef>
          </c:xVal>
          <c:yVal>
            <c:numRef>
              <c:f>Work!$G$4:$G$6</c:f>
              <c:numCache>
                <c:formatCode>General</c:formatCode>
                <c:ptCount val="3"/>
                <c:pt idx="0">
                  <c:v>244.15173429999999</c:v>
                </c:pt>
                <c:pt idx="1">
                  <c:v>134.40023249999999</c:v>
                </c:pt>
                <c:pt idx="2">
                  <c:v>454.60852920000002</c:v>
                </c:pt>
              </c:numCache>
            </c:numRef>
          </c:yVal>
          <c:smooth val="0"/>
          <c:extLst>
            <c:ext xmlns:c16="http://schemas.microsoft.com/office/drawing/2014/chart" uri="{C3380CC4-5D6E-409C-BE32-E72D297353CC}">
              <c16:uniqueId val="{00000000-E8B4-4D48-B0F4-FBBEFFCD9EC2}"/>
            </c:ext>
          </c:extLst>
        </c:ser>
        <c:ser>
          <c:idx val="4"/>
          <c:order val="1"/>
          <c:spPr>
            <a:ln w="38100" cap="rnd">
              <a:noFill/>
              <a:round/>
            </a:ln>
            <a:effectLst/>
          </c:spPr>
          <c:xVal>
            <c:numRef>
              <c:f>Work!$F$4:$F$6</c:f>
              <c:numCache>
                <c:formatCode>General</c:formatCode>
                <c:ptCount val="3"/>
                <c:pt idx="0">
                  <c:v>119.722521</c:v>
                </c:pt>
                <c:pt idx="1">
                  <c:v>70.209464600000004</c:v>
                </c:pt>
                <c:pt idx="2">
                  <c:v>257.20578569999998</c:v>
                </c:pt>
              </c:numCache>
            </c:numRef>
          </c:xVal>
          <c:yVal>
            <c:numRef>
              <c:f>Work!$G$4:$G$6</c:f>
              <c:numCache>
                <c:formatCode>General</c:formatCode>
                <c:ptCount val="3"/>
                <c:pt idx="0">
                  <c:v>244.15173429999999</c:v>
                </c:pt>
                <c:pt idx="1">
                  <c:v>134.40023249999999</c:v>
                </c:pt>
                <c:pt idx="2">
                  <c:v>454.60852920000002</c:v>
                </c:pt>
              </c:numCache>
            </c:numRef>
          </c:yVal>
          <c:smooth val="0"/>
          <c:extLst>
            <c:ext xmlns:c16="http://schemas.microsoft.com/office/drawing/2014/chart" uri="{C3380CC4-5D6E-409C-BE32-E72D297353CC}">
              <c16:uniqueId val="{00000001-E8B4-4D48-B0F4-FBBEFFCD9EC2}"/>
            </c:ext>
          </c:extLst>
        </c:ser>
        <c:ser>
          <c:idx val="5"/>
          <c:order val="2"/>
          <c:spPr>
            <a:ln w="38100" cap="rnd">
              <a:noFill/>
              <a:round/>
            </a:ln>
            <a:effectLst/>
          </c:spPr>
          <c:xVal>
            <c:numRef>
              <c:f>Work!$F$4:$F$6</c:f>
              <c:numCache>
                <c:formatCode>General</c:formatCode>
                <c:ptCount val="3"/>
                <c:pt idx="0">
                  <c:v>119.722521</c:v>
                </c:pt>
                <c:pt idx="1">
                  <c:v>70.209464600000004</c:v>
                </c:pt>
                <c:pt idx="2">
                  <c:v>257.20578569999998</c:v>
                </c:pt>
              </c:numCache>
            </c:numRef>
          </c:xVal>
          <c:yVal>
            <c:numRef>
              <c:f>Work!$G$4:$G$6</c:f>
              <c:numCache>
                <c:formatCode>General</c:formatCode>
                <c:ptCount val="3"/>
                <c:pt idx="0">
                  <c:v>244.15173429999999</c:v>
                </c:pt>
                <c:pt idx="1">
                  <c:v>134.40023249999999</c:v>
                </c:pt>
                <c:pt idx="2">
                  <c:v>454.60852920000002</c:v>
                </c:pt>
              </c:numCache>
            </c:numRef>
          </c:yVal>
          <c:smooth val="0"/>
          <c:extLst>
            <c:ext xmlns:c16="http://schemas.microsoft.com/office/drawing/2014/chart" uri="{C3380CC4-5D6E-409C-BE32-E72D297353CC}">
              <c16:uniqueId val="{00000002-E8B4-4D48-B0F4-FBBEFFCD9EC2}"/>
            </c:ext>
          </c:extLst>
        </c:ser>
        <c:ser>
          <c:idx val="1"/>
          <c:order val="3"/>
          <c:spPr>
            <a:ln w="38100" cap="rnd">
              <a:noFill/>
              <a:round/>
            </a:ln>
            <a:effectLst/>
          </c:spPr>
          <c:xVal>
            <c:numRef>
              <c:f>Work!$F$4:$F$6</c:f>
              <c:numCache>
                <c:formatCode>General</c:formatCode>
                <c:ptCount val="3"/>
                <c:pt idx="0">
                  <c:v>119.722521</c:v>
                </c:pt>
                <c:pt idx="1">
                  <c:v>70.209464600000004</c:v>
                </c:pt>
                <c:pt idx="2">
                  <c:v>257.20578569999998</c:v>
                </c:pt>
              </c:numCache>
            </c:numRef>
          </c:xVal>
          <c:yVal>
            <c:numRef>
              <c:f>Work!$G$4:$G$6</c:f>
              <c:numCache>
                <c:formatCode>General</c:formatCode>
                <c:ptCount val="3"/>
                <c:pt idx="0">
                  <c:v>244.15173429999999</c:v>
                </c:pt>
                <c:pt idx="1">
                  <c:v>134.40023249999999</c:v>
                </c:pt>
                <c:pt idx="2">
                  <c:v>454.60852920000002</c:v>
                </c:pt>
              </c:numCache>
            </c:numRef>
          </c:yVal>
          <c:smooth val="0"/>
          <c:extLst>
            <c:ext xmlns:c16="http://schemas.microsoft.com/office/drawing/2014/chart" uri="{C3380CC4-5D6E-409C-BE32-E72D297353CC}">
              <c16:uniqueId val="{00000003-E8B4-4D48-B0F4-FBBEFFCD9EC2}"/>
            </c:ext>
          </c:extLst>
        </c:ser>
        <c:ser>
          <c:idx val="2"/>
          <c:order val="4"/>
          <c:spPr>
            <a:ln w="38100" cap="rnd">
              <a:noFill/>
              <a:round/>
            </a:ln>
            <a:effectLst/>
          </c:spPr>
          <c:xVal>
            <c:numRef>
              <c:f>Work!$F$4:$F$6</c:f>
              <c:numCache>
                <c:formatCode>General</c:formatCode>
                <c:ptCount val="3"/>
                <c:pt idx="0">
                  <c:v>119.722521</c:v>
                </c:pt>
                <c:pt idx="1">
                  <c:v>70.209464600000004</c:v>
                </c:pt>
                <c:pt idx="2">
                  <c:v>257.20578569999998</c:v>
                </c:pt>
              </c:numCache>
            </c:numRef>
          </c:xVal>
          <c:yVal>
            <c:numRef>
              <c:f>Work!$G$4:$G$6</c:f>
              <c:numCache>
                <c:formatCode>General</c:formatCode>
                <c:ptCount val="3"/>
                <c:pt idx="0">
                  <c:v>244.15173429999999</c:v>
                </c:pt>
                <c:pt idx="1">
                  <c:v>134.40023249999999</c:v>
                </c:pt>
                <c:pt idx="2">
                  <c:v>454.60852920000002</c:v>
                </c:pt>
              </c:numCache>
            </c:numRef>
          </c:yVal>
          <c:smooth val="0"/>
          <c:extLst>
            <c:ext xmlns:c16="http://schemas.microsoft.com/office/drawing/2014/chart" uri="{C3380CC4-5D6E-409C-BE32-E72D297353CC}">
              <c16:uniqueId val="{00000004-E8B4-4D48-B0F4-FBBEFFCD9EC2}"/>
            </c:ext>
          </c:extLst>
        </c:ser>
        <c:ser>
          <c:idx val="0"/>
          <c:order val="5"/>
          <c:spPr>
            <a:ln w="38100" cap="rnd">
              <a:noFill/>
              <a:round/>
            </a:ln>
            <a:effectLst/>
          </c:spPr>
          <c:marker>
            <c:symbol val="circle"/>
            <c:size val="50"/>
            <c:spPr>
              <a:solidFill>
                <a:schemeClr val="accent1"/>
              </a:solidFill>
              <a:ln w="9525">
                <a:solidFill>
                  <a:schemeClr val="accent1"/>
                </a:solidFill>
              </a:ln>
              <a:effectLst/>
            </c:spPr>
          </c:marker>
          <c:dPt>
            <c:idx val="0"/>
            <c:marker>
              <c:symbol val="picture"/>
              <c:spPr>
                <a:blipFill>
                  <a:blip xmlns:r="http://schemas.openxmlformats.org/officeDocument/2006/relationships" r:embed="rId1">
                    <a:extLst>
                      <a:ext uri="{96DAC541-7B7A-43D3-8B79-37D633B846F1}">
                        <asvg:svgBlip xmlns:asvg="http://schemas.microsoft.com/office/drawing/2016/SVG/main" r:embed="rId2"/>
                      </a:ext>
                    </a:extLst>
                  </a:blip>
                  <a:stretch>
                    <a:fillRect/>
                  </a:stretch>
                </a:blipFill>
                <a:ln w="9525">
                  <a:noFill/>
                </a:ln>
                <a:effectLst/>
              </c:spPr>
            </c:marker>
            <c:bubble3D val="0"/>
            <c:extLst>
              <c:ext xmlns:c16="http://schemas.microsoft.com/office/drawing/2014/chart" uri="{C3380CC4-5D6E-409C-BE32-E72D297353CC}">
                <c16:uniqueId val="{00000005-E8B4-4D48-B0F4-FBBEFFCD9EC2}"/>
              </c:ext>
            </c:extLst>
          </c:dPt>
          <c:dPt>
            <c:idx val="1"/>
            <c:marker>
              <c:symbol val="picture"/>
              <c:spPr>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a:ln w="9525">
                  <a:noFill/>
                </a:ln>
                <a:effectLst/>
              </c:spPr>
            </c:marker>
            <c:bubble3D val="0"/>
            <c:extLst>
              <c:ext xmlns:c16="http://schemas.microsoft.com/office/drawing/2014/chart" uri="{C3380CC4-5D6E-409C-BE32-E72D297353CC}">
                <c16:uniqueId val="{00000006-E8B4-4D48-B0F4-FBBEFFCD9EC2}"/>
              </c:ext>
            </c:extLst>
          </c:dPt>
          <c:dPt>
            <c:idx val="2"/>
            <c:marker>
              <c:symbol val="picture"/>
              <c:spPr>
                <a:blipFill>
                  <a:blip xmlns:r="http://schemas.openxmlformats.org/officeDocument/2006/relationships" r:embed="rId5">
                    <a:extLst>
                      <a:ext uri="{96DAC541-7B7A-43D3-8B79-37D633B846F1}">
                        <asvg:svgBlip xmlns:asvg="http://schemas.microsoft.com/office/drawing/2016/SVG/main" r:embed="rId6"/>
                      </a:ext>
                    </a:extLst>
                  </a:blip>
                  <a:stretch>
                    <a:fillRect/>
                  </a:stretch>
                </a:blipFill>
                <a:ln w="9525">
                  <a:noFill/>
                </a:ln>
                <a:effectLst/>
              </c:spPr>
            </c:marker>
            <c:bubble3D val="0"/>
            <c:extLst>
              <c:ext xmlns:c16="http://schemas.microsoft.com/office/drawing/2014/chart" uri="{C3380CC4-5D6E-409C-BE32-E72D297353CC}">
                <c16:uniqueId val="{00000007-E8B4-4D48-B0F4-FBBEFFCD9EC2}"/>
              </c:ext>
            </c:extLst>
          </c:dPt>
          <c:dLbls>
            <c:dLbl>
              <c:idx val="0"/>
              <c:tx>
                <c:rich>
                  <a:bodyPr/>
                  <a:lstStyle/>
                  <a:p>
                    <a:fld id="{E0049758-15C9-45A5-9BE1-C61F13664967}" type="CELLRANGE">
                      <a:rPr lang="en-FI"/>
                      <a:pPr/>
                      <a:t>[CELLRANGE]</a:t>
                    </a:fld>
                    <a:endParaRPr lang="en-FI"/>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E8B4-4D48-B0F4-FBBEFFCD9EC2}"/>
                </c:ext>
              </c:extLst>
            </c:dLbl>
            <c:dLbl>
              <c:idx val="1"/>
              <c:tx>
                <c:rich>
                  <a:bodyPr/>
                  <a:lstStyle/>
                  <a:p>
                    <a:fld id="{C256BE70-5427-43B2-B498-0BBF1839D714}" type="CELLRANGE">
                      <a:rPr lang="en-FI"/>
                      <a:pPr/>
                      <a:t>[CELLRANGE]</a:t>
                    </a:fld>
                    <a:endParaRPr lang="en-FI"/>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E8B4-4D48-B0F4-FBBEFFCD9EC2}"/>
                </c:ext>
              </c:extLst>
            </c:dLbl>
            <c:dLbl>
              <c:idx val="2"/>
              <c:tx>
                <c:rich>
                  <a:bodyPr/>
                  <a:lstStyle/>
                  <a:p>
                    <a:fld id="{A3528859-F65F-4EB1-95C3-00A8514C0C07}" type="CELLRANGE">
                      <a:rPr lang="en-FI"/>
                      <a:pPr/>
                      <a:t>[CELLRANGE]</a:t>
                    </a:fld>
                    <a:endParaRPr lang="en-FI"/>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E8B4-4D48-B0F4-FBBEFFCD9EC2}"/>
                </c:ext>
              </c:extLst>
            </c:dLbl>
            <c:spPr>
              <a:noFill/>
              <a:ln>
                <a:noFill/>
              </a:ln>
              <a:effectLst/>
            </c:spPr>
            <c:txPr>
              <a:bodyPr rot="0" spcFirstLastPara="1" vertOverflow="ellipsis" vert="horz" wrap="square" lIns="38100" tIns="19050" rIns="38100" bIns="19050" anchor="ctr" anchorCtr="1">
                <a:spAutoFit/>
              </a:bodyPr>
              <a:lstStyle/>
              <a:p>
                <a:pPr>
                  <a:defRPr sz="1500" b="0" i="0" u="none" strike="noStrike" kern="1200" baseline="0">
                    <a:solidFill>
                      <a:schemeClr val="tx1">
                        <a:lumMod val="75000"/>
                        <a:lumOff val="25000"/>
                      </a:schemeClr>
                    </a:solidFill>
                    <a:latin typeface="+mn-lt"/>
                    <a:ea typeface="+mn-ea"/>
                    <a:cs typeface="+mn-cs"/>
                  </a:defRPr>
                </a:pPr>
                <a:endParaRPr lang="en-FI"/>
              </a:p>
            </c:txPr>
            <c:dLblPos val="b"/>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Work!$F$4:$F$6</c:f>
              <c:numCache>
                <c:formatCode>General</c:formatCode>
                <c:ptCount val="3"/>
                <c:pt idx="0">
                  <c:v>119.722521</c:v>
                </c:pt>
                <c:pt idx="1">
                  <c:v>70.209464600000004</c:v>
                </c:pt>
                <c:pt idx="2">
                  <c:v>257.20578569999998</c:v>
                </c:pt>
              </c:numCache>
            </c:numRef>
          </c:xVal>
          <c:yVal>
            <c:numRef>
              <c:f>Work!$G$4:$G$6</c:f>
              <c:numCache>
                <c:formatCode>General</c:formatCode>
                <c:ptCount val="3"/>
                <c:pt idx="0">
                  <c:v>244.15173429999999</c:v>
                </c:pt>
                <c:pt idx="1">
                  <c:v>134.40023249999999</c:v>
                </c:pt>
                <c:pt idx="2">
                  <c:v>454.60852920000002</c:v>
                </c:pt>
              </c:numCache>
            </c:numRef>
          </c:yVal>
          <c:smooth val="0"/>
          <c:extLst>
            <c:ext xmlns:c15="http://schemas.microsoft.com/office/drawing/2012/chart" uri="{02D57815-91ED-43cb-92C2-25804820EDAC}">
              <c15:datalabelsRange>
                <c15:f>Work!$E$4:$E$6</c15:f>
                <c15:dlblRangeCache>
                  <c:ptCount val="3"/>
                  <c:pt idx="0">
                    <c:v>Egypt</c:v>
                  </c:pt>
                  <c:pt idx="1">
                    <c:v>India</c:v>
                  </c:pt>
                  <c:pt idx="2">
                    <c:v>USA</c:v>
                  </c:pt>
                </c15:dlblRangeCache>
              </c15:datalabelsRange>
            </c:ext>
            <c:ext xmlns:c16="http://schemas.microsoft.com/office/drawing/2014/chart" uri="{C3380CC4-5D6E-409C-BE32-E72D297353CC}">
              <c16:uniqueId val="{00000008-E8B4-4D48-B0F4-FBBEFFCD9EC2}"/>
            </c:ext>
          </c:extLst>
        </c:ser>
        <c:dLbls>
          <c:showLegendKey val="0"/>
          <c:showVal val="0"/>
          <c:showCatName val="0"/>
          <c:showSerName val="0"/>
          <c:showPercent val="0"/>
          <c:showBubbleSize val="0"/>
        </c:dLbls>
        <c:axId val="1928267759"/>
        <c:axId val="1928265359"/>
      </c:scatterChart>
      <c:valAx>
        <c:axId val="1928267759"/>
        <c:scaling>
          <c:orientation val="minMax"/>
          <c:max val="30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500" b="0" i="0" u="none" strike="noStrike" kern="1200" baseline="0">
                <a:solidFill>
                  <a:schemeClr val="tx1">
                    <a:lumMod val="65000"/>
                    <a:lumOff val="35000"/>
                  </a:schemeClr>
                </a:solidFill>
                <a:latin typeface="+mn-lt"/>
                <a:ea typeface="+mn-ea"/>
                <a:cs typeface="+mn-cs"/>
              </a:defRPr>
            </a:pPr>
            <a:endParaRPr lang="en-FI"/>
          </a:p>
        </c:txPr>
        <c:crossAx val="1928265359"/>
        <c:crosses val="autoZero"/>
        <c:crossBetween val="midCat"/>
      </c:valAx>
      <c:valAx>
        <c:axId val="1928265359"/>
        <c:scaling>
          <c:orientation val="minMax"/>
          <c:max val="5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500" b="0" i="0" u="none" strike="noStrike" kern="1200" baseline="0">
                <a:solidFill>
                  <a:schemeClr val="tx1">
                    <a:lumMod val="65000"/>
                    <a:lumOff val="35000"/>
                  </a:schemeClr>
                </a:solidFill>
                <a:latin typeface="+mn-lt"/>
                <a:ea typeface="+mn-ea"/>
                <a:cs typeface="+mn-cs"/>
              </a:defRPr>
            </a:pPr>
            <a:endParaRPr lang="en-FI"/>
          </a:p>
        </c:txPr>
        <c:crossAx val="1928267759"/>
        <c:crosses val="autoZero"/>
        <c:crossBetween val="midCat"/>
      </c:valAx>
      <c:spPr>
        <a:noFill/>
        <a:ln>
          <a:noFill/>
        </a:ln>
        <a:effectLst/>
      </c:spPr>
    </c:plotArea>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FI"/>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withinLinearReversed" id="21">
  <a:schemeClr val="accent1"/>
</cs:colorStyle>
</file>

<file path=xl/charts/colors2.xml><?xml version="1.0" encoding="utf-8"?>
<cs:colorStyle xmlns:cs="http://schemas.microsoft.com/office/drawing/2012/chartStyle" xmlns:a="http://schemas.openxmlformats.org/drawingml/2006/main" meth="withinLinearReversed" id="21">
  <a:schemeClr val="accent1"/>
</cs:colorStyle>
</file>

<file path=xl/charts/colors3.xml><?xml version="1.0" encoding="utf-8"?>
<cs:colorStyle xmlns:cs="http://schemas.microsoft.com/office/drawing/2012/chartStyle" xmlns:a="http://schemas.openxmlformats.org/drawingml/2006/main" meth="withinLinearReversed" id="21">
  <a:schemeClr val="accent1"/>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8</xdr:col>
      <xdr:colOff>473107</xdr:colOff>
      <xdr:row>2</xdr:row>
      <xdr:rowOff>139614</xdr:rowOff>
    </xdr:from>
    <xdr:to>
      <xdr:col>8</xdr:col>
      <xdr:colOff>1979261</xdr:colOff>
      <xdr:row>11</xdr:row>
      <xdr:rowOff>24786</xdr:rowOff>
    </xdr:to>
    <xdr:graphicFrame macro="">
      <xdr:nvGraphicFramePr>
        <xdr:cNvPr id="4" name="ChtEgypt">
          <a:extLst>
            <a:ext uri="{FF2B5EF4-FFF2-40B4-BE49-F238E27FC236}">
              <a16:creationId xmlns:a16="http://schemas.microsoft.com/office/drawing/2014/main" id="{1F64828F-F3DE-78B2-E0F4-8E28D1B5E03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188672</xdr:colOff>
      <xdr:row>2</xdr:row>
      <xdr:rowOff>142233</xdr:rowOff>
    </xdr:from>
    <xdr:to>
      <xdr:col>9</xdr:col>
      <xdr:colOff>1208280</xdr:colOff>
      <xdr:row>8</xdr:row>
      <xdr:rowOff>81186</xdr:rowOff>
    </xdr:to>
    <xdr:graphicFrame macro="">
      <xdr:nvGraphicFramePr>
        <xdr:cNvPr id="5" name="chtIndia">
          <a:extLst>
            <a:ext uri="{FF2B5EF4-FFF2-40B4-BE49-F238E27FC236}">
              <a16:creationId xmlns:a16="http://schemas.microsoft.com/office/drawing/2014/main" id="{D5EEFA4E-28DA-4687-AD3A-412AB79FE7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755619</xdr:colOff>
      <xdr:row>2</xdr:row>
      <xdr:rowOff>63646</xdr:rowOff>
    </xdr:from>
    <xdr:to>
      <xdr:col>11</xdr:col>
      <xdr:colOff>1262745</xdr:colOff>
      <xdr:row>16</xdr:row>
      <xdr:rowOff>44299</xdr:rowOff>
    </xdr:to>
    <xdr:graphicFrame macro="">
      <xdr:nvGraphicFramePr>
        <xdr:cNvPr id="6" name="chtUSA">
          <a:extLst>
            <a:ext uri="{FF2B5EF4-FFF2-40B4-BE49-F238E27FC236}">
              <a16:creationId xmlns:a16="http://schemas.microsoft.com/office/drawing/2014/main" id="{8476ECB5-47F6-4B18-A2BA-C854BFA03F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7</xdr:col>
      <xdr:colOff>214161</xdr:colOff>
      <xdr:row>9</xdr:row>
      <xdr:rowOff>164031</xdr:rowOff>
    </xdr:from>
    <xdr:to>
      <xdr:col>7</xdr:col>
      <xdr:colOff>2042961</xdr:colOff>
      <xdr:row>23</xdr:row>
      <xdr:rowOff>162527</xdr:rowOff>
    </xdr:to>
    <mc:AlternateContent xmlns:mc="http://schemas.openxmlformats.org/markup-compatibility/2006" xmlns:a14="http://schemas.microsoft.com/office/drawing/2010/main">
      <mc:Choice Requires="a14">
        <xdr:graphicFrame macro="">
          <xdr:nvGraphicFramePr>
            <xdr:cNvPr id="7" name="year">
              <a:extLst>
                <a:ext uri="{FF2B5EF4-FFF2-40B4-BE49-F238E27FC236}">
                  <a16:creationId xmlns:a16="http://schemas.microsoft.com/office/drawing/2014/main" id="{3ABB796A-853C-5DC7-ECCB-E2B6D2B8E935}"/>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0222519" y="1801762"/>
              <a:ext cx="1828800" cy="2546078"/>
            </a:xfrm>
            <a:prstGeom prst="rect">
              <a:avLst/>
            </a:prstGeom>
            <a:solidFill>
              <a:prstClr val="white"/>
            </a:solidFill>
            <a:ln w="1">
              <a:solidFill>
                <a:prstClr val="green"/>
              </a:solidFill>
            </a:ln>
          </xdr:spPr>
          <xdr:txBody>
            <a:bodyPr vertOverflow="clip" horzOverflow="clip"/>
            <a:lstStyle/>
            <a:p>
              <a:r>
                <a:rPr lang="en-FI"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11372</xdr:colOff>
      <xdr:row>16</xdr:row>
      <xdr:rowOff>170597</xdr:rowOff>
    </xdr:from>
    <xdr:to>
      <xdr:col>14</xdr:col>
      <xdr:colOff>1264936</xdr:colOff>
      <xdr:row>50</xdr:row>
      <xdr:rowOff>166887</xdr:rowOff>
    </xdr:to>
    <xdr:graphicFrame macro="">
      <xdr:nvGraphicFramePr>
        <xdr:cNvPr id="2" name="chtMain">
          <a:extLst>
            <a:ext uri="{FF2B5EF4-FFF2-40B4-BE49-F238E27FC236}">
              <a16:creationId xmlns:a16="http://schemas.microsoft.com/office/drawing/2014/main" id="{6721B1EC-70F4-90BF-C750-AAD6C547C9F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11372</xdr:colOff>
      <xdr:row>14</xdr:row>
      <xdr:rowOff>90984</xdr:rowOff>
    </xdr:from>
    <xdr:to>
      <xdr:col>14</xdr:col>
      <xdr:colOff>1264936</xdr:colOff>
      <xdr:row>16</xdr:row>
      <xdr:rowOff>56865</xdr:rowOff>
    </xdr:to>
    <xdr:sp macro="" textlink="">
      <xdr:nvSpPr>
        <xdr:cNvPr id="9" name="timeline">
          <a:extLst>
            <a:ext uri="{FF2B5EF4-FFF2-40B4-BE49-F238E27FC236}">
              <a16:creationId xmlns:a16="http://schemas.microsoft.com/office/drawing/2014/main" id="{1337213C-B109-51B9-4ED6-B3623D3131D0}"/>
            </a:ext>
          </a:extLst>
        </xdr:cNvPr>
        <xdr:cNvSpPr/>
      </xdr:nvSpPr>
      <xdr:spPr>
        <a:xfrm>
          <a:off x="14016932" y="2651304"/>
          <a:ext cx="11860604" cy="331641"/>
        </a:xfrm>
        <a:prstGeom prst="rect">
          <a:avLst/>
        </a:prstGeom>
        <a:solidFill>
          <a:schemeClr val="tx2">
            <a:lumMod val="90000"/>
            <a:lumOff val="1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kern="1200">
              <a:solidFill>
                <a:srgbClr val="FFC000"/>
              </a:solidFill>
              <a:latin typeface="Amasis MT Pro Light" panose="020F0502020204030204" pitchFamily="18" charset="0"/>
            </a:rPr>
            <a:t>Saving</a:t>
          </a:r>
          <a:r>
            <a:rPr lang="en-GB" sz="2400" b="1" kern="1200" baseline="0">
              <a:solidFill>
                <a:srgbClr val="FFC000"/>
              </a:solidFill>
              <a:latin typeface="Amasis MT Pro Light" panose="020F0502020204030204" pitchFamily="18" charset="0"/>
            </a:rPr>
            <a:t> the environment one pizza at a time</a:t>
          </a:r>
          <a:endParaRPr lang="en-FI" sz="2400" b="1" kern="1200">
            <a:solidFill>
              <a:srgbClr val="FFC000"/>
            </a:solidFill>
            <a:latin typeface="Amasis MT Pro Light" panose="020F0502020204030204" pitchFamily="18" charset="0"/>
          </a:endParaRPr>
        </a:p>
      </xdr:txBody>
    </xdr:sp>
    <xdr:clientData/>
  </xdr:twoCellAnchor>
  <xdr:twoCellAnchor>
    <xdr:from>
      <xdr:col>14</xdr:col>
      <xdr:colOff>569582</xdr:colOff>
      <xdr:row>14</xdr:row>
      <xdr:rowOff>11373</xdr:rowOff>
    </xdr:from>
    <xdr:to>
      <xdr:col>14</xdr:col>
      <xdr:colOff>1264936</xdr:colOff>
      <xdr:row>16</xdr:row>
      <xdr:rowOff>125105</xdr:rowOff>
    </xdr:to>
    <xdr:sp macro="" textlink="$F$1">
      <xdr:nvSpPr>
        <xdr:cNvPr id="10" name="slider">
          <a:extLst>
            <a:ext uri="{FF2B5EF4-FFF2-40B4-BE49-F238E27FC236}">
              <a16:creationId xmlns:a16="http://schemas.microsoft.com/office/drawing/2014/main" id="{0A0752BB-1D71-2ED4-BF07-23BBAA978384}"/>
            </a:ext>
          </a:extLst>
        </xdr:cNvPr>
        <xdr:cNvSpPr/>
      </xdr:nvSpPr>
      <xdr:spPr>
        <a:xfrm>
          <a:off x="25182182" y="2571693"/>
          <a:ext cx="695354" cy="479492"/>
        </a:xfrm>
        <a:prstGeom prst="rect">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2C39522F-9AE0-4EF1-A578-35A6B3B9C9C2}" type="TxLink">
            <a:rPr lang="en-US" sz="1600" b="0" i="0" u="none" strike="noStrike" kern="1200">
              <a:solidFill>
                <a:srgbClr val="000000"/>
              </a:solidFill>
              <a:latin typeface="Aptos Narrow"/>
            </a:rPr>
            <a:pPr algn="ctr"/>
            <a:t>2019</a:t>
          </a:fld>
          <a:endParaRPr lang="en-FI" sz="1600" kern="1200">
            <a:solidFill>
              <a:sysClr val="windowText" lastClr="000000"/>
            </a:solidFill>
          </a:endParaRPr>
        </a:p>
      </xdr:txBody>
    </xdr:sp>
    <xdr:clientData/>
  </xdr:twoCellAnchor>
  <xdr:twoCellAnchor>
    <xdr:from>
      <xdr:col>0</xdr:col>
      <xdr:colOff>0</xdr:colOff>
      <xdr:row>99</xdr:row>
      <xdr:rowOff>0</xdr:rowOff>
    </xdr:from>
    <xdr:to>
      <xdr:col>9</xdr:col>
      <xdr:colOff>1152409</xdr:colOff>
      <xdr:row>133</xdr:row>
      <xdr:rowOff>100497</xdr:rowOff>
    </xdr:to>
    <xdr:graphicFrame macro="">
      <xdr:nvGraphicFramePr>
        <xdr:cNvPr id="16" name="chtMain">
          <a:extLst>
            <a:ext uri="{FF2B5EF4-FFF2-40B4-BE49-F238E27FC236}">
              <a16:creationId xmlns:a16="http://schemas.microsoft.com/office/drawing/2014/main" id="{3CEE5815-1D63-4BA1-9A2C-2F739EBFE1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usha Porwal" refreshedDate="45637.00010474537" createdVersion="8" refreshedVersion="8" minRefreshableVersion="3" recordCount="123" xr:uid="{B3131441-777B-4E09-827A-F026BC2BF36A}">
  <cacheSource type="worksheet">
    <worksheetSource ref="A1:K124" sheet="finalData2use - Copy"/>
  </cacheSource>
  <cacheFields count="11">
    <cacheField name="country" numFmtId="0">
      <sharedItems count="3">
        <s v="India"/>
        <s v="USA"/>
        <s v="Egypt"/>
      </sharedItems>
    </cacheField>
    <cacheField name="year" numFmtId="0">
      <sharedItems containsSemiMixedTypes="0" containsString="0" containsNumber="1" containsInteger="1" minValue="1979" maxValue="2019" count="41">
        <n v="1979"/>
        <n v="1980"/>
        <n v="1981"/>
        <n v="1982"/>
        <n v="1983"/>
        <n v="1984"/>
        <n v="1985"/>
        <n v="1986"/>
        <n v="1987"/>
        <n v="1988"/>
        <n v="1989"/>
        <n v="1990"/>
        <n v="1991"/>
        <n v="1992"/>
        <n v="1993"/>
        <n v="1994"/>
        <n v="1995"/>
        <n v="1996"/>
        <n v="1997"/>
        <n v="1998"/>
        <n v="1999"/>
        <n v="2000"/>
        <n v="2001"/>
        <n v="2002"/>
        <n v="2003"/>
        <n v="2004"/>
        <n v="2005"/>
        <n v="2006"/>
        <n v="2007"/>
        <n v="2008"/>
        <n v="2009"/>
        <n v="2010"/>
        <n v="2011"/>
        <n v="2012"/>
        <n v="2013"/>
        <n v="2014"/>
        <n v="2015"/>
        <n v="2016"/>
        <n v="2017"/>
        <n v="2018"/>
        <n v="2019"/>
      </sharedItems>
    </cacheField>
    <cacheField name="peppers" numFmtId="0">
      <sharedItems containsSemiMixedTypes="0" containsString="0" containsNumber="1" minValue="7.2972999999999999" maxValue="35.806199999999997"/>
    </cacheField>
    <cacheField name="tomato" numFmtId="0">
      <sharedItems containsSemiMixedTypes="0" containsString="0" containsNumber="1" minValue="8.1267999999999994" maxValue="98.038399999999996"/>
    </cacheField>
    <cacheField name="onion" numFmtId="0">
      <sharedItems containsSemiMixedTypes="0" containsString="0" containsNumber="1" minValue="9.0140999999999991" maxValue="63.503300000000003"/>
    </cacheField>
    <cacheField name="wheat" numFmtId="0">
      <sharedItems containsSemiMixedTypes="0" containsString="0" containsNumber="1" minValue="1.4355998999999999" maxValue="6.8596997000000002"/>
    </cacheField>
    <cacheField name="totalFoodProduced_t" numFmtId="0">
      <sharedItems containsSemiMixedTypes="0" containsString="0" containsNumber="1" minValue="27.764399000000001" maxValue="194.71439699999999"/>
    </cacheField>
    <cacheField name="totalWaterUsed_kL_by100" numFmtId="0">
      <sharedItems containsSemiMixedTypes="0" containsString="0" containsNumber="1" minValue="67.435844919999994" maxValue="462.52714859999998"/>
    </cacheField>
    <cacheField name="totalEmissions_t" numFmtId="0">
      <sharedItems containsSemiMixedTypes="0" containsString="0" containsNumber="1" minValue="29.41524484" maxValue="257.20578569999998"/>
    </cacheField>
    <cacheField name="totalFoodLost_t" numFmtId="0">
      <sharedItems containsSemiMixedTypes="0" containsString="0" containsNumber="1" minValue="4.9722546650000004" maxValue="44.792065000000001"/>
    </cacheField>
    <cacheField name="percentageLoss" numFmtId="0">
      <sharedItems containsSemiMixedTypes="0" containsString="0" containsNumber="1" minValue="10.368777440000001" maxValue="51.315898930000003"/>
    </cacheField>
  </cacheFields>
  <extLst>
    <ext xmlns:x14="http://schemas.microsoft.com/office/spreadsheetml/2009/9/main" uri="{725AE2AE-9491-48be-B2B4-4EB974FC3084}">
      <x14:pivotCacheDefinition pivotCacheId="94170844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3">
  <r>
    <x v="0"/>
    <x v="0"/>
    <n v="7.2972999999999999"/>
    <n v="8.6666989999999995"/>
    <n v="10.232100000000001"/>
    <n v="1.5683"/>
    <n v="27.764399000000001"/>
    <n v="67.435844919999994"/>
    <n v="29.559250909999999"/>
    <n v="5.0175265900000001"/>
    <n v="18.07179975"/>
  </r>
  <r>
    <x v="0"/>
    <x v="1"/>
    <n v="7.3076996999999997"/>
    <n v="9.375"/>
    <n v="9.9613999999999994"/>
    <n v="1.4355998999999999"/>
    <n v="38.079699599999998"/>
    <n v="68.533794409999999"/>
    <n v="30.70142268"/>
    <n v="5.0228867939999997"/>
    <n v="17.887964849999999"/>
  </r>
  <r>
    <x v="0"/>
    <x v="2"/>
    <n v="7.3332996000000001"/>
    <n v="9.4736999999999991"/>
    <n v="10.561999"/>
    <n v="1.6298999999999999"/>
    <n v="48.998898599999997"/>
    <n v="70.497129689999994"/>
    <n v="31.526624290000001"/>
    <n v="5.2281239790000003"/>
    <n v="18.028698439999999"/>
  </r>
  <r>
    <x v="0"/>
    <x v="3"/>
    <n v="7.7"/>
    <n v="9.7221989999999998"/>
    <n v="10.3303995"/>
    <n v="1.6912999"/>
    <n v="29.443898399999998"/>
    <n v="72.825924349999994"/>
    <n v="32.220936500000001"/>
    <n v="5.2313550649999998"/>
    <n v="17.767195749999999"/>
  </r>
  <r>
    <x v="0"/>
    <x v="4"/>
    <n v="7.7072997000000001"/>
    <n v="10"/>
    <n v="9.9818999999999996"/>
    <n v="1.8158000000000001"/>
    <n v="29.504999699999999"/>
    <n v="74.281738140000002"/>
    <n v="32.826624840000001"/>
    <n v="5.1698259389999999"/>
    <n v="17.521864059999999"/>
  </r>
  <r>
    <x v="0"/>
    <x v="5"/>
    <n v="8.2142999999999997"/>
    <n v="9.1303999999999998"/>
    <n v="11.139099999999999"/>
    <n v="1.8431999999999999"/>
    <n v="30.327000000000002"/>
    <n v="74.38625193"/>
    <n v="31.899488999999999"/>
    <n v="5.4569575700000001"/>
    <n v="17.993726939999998"/>
  </r>
  <r>
    <x v="0"/>
    <x v="6"/>
    <n v="8.1818000000000008"/>
    <n v="8.8461999999999996"/>
    <n v="10.2021"/>
    <n v="1.8700999"/>
    <n v="29.1001999"/>
    <n v="73.109016690000004"/>
    <n v="30.862018840000001"/>
    <n v="5.1369313649999997"/>
    <n v="17.652563839999999"/>
  </r>
  <r>
    <x v="0"/>
    <x v="7"/>
    <n v="8.4"/>
    <n v="9.1199999999999992"/>
    <n v="9.6589989999999997"/>
    <n v="2.0459999999999998"/>
    <n v="29.224999"/>
    <n v="75.546840860000003"/>
    <n v="31.554519500000001"/>
    <n v="5.0405366999999996"/>
    <n v="17.247346010000001"/>
  </r>
  <r>
    <x v="0"/>
    <x v="8"/>
    <n v="8.4783000000000008"/>
    <n v="8.1267999999999994"/>
    <n v="9.8566000000000003"/>
    <n v="1.9161999000000001"/>
    <n v="28.377899899999999"/>
    <n v="72.199471860000003"/>
    <n v="29.41524484"/>
    <n v="4.9722546650000004"/>
    <n v="17.52157377"/>
  </r>
  <r>
    <x v="0"/>
    <x v="9"/>
    <n v="8.8084989999999994"/>
    <n v="13.162100000000001"/>
    <n v="10.619598999999999"/>
    <n v="2.0019"/>
    <n v="34.592098"/>
    <n v="89.050610509999998"/>
    <n v="40.63007597"/>
    <n v="5.8936327979999996"/>
    <n v="17.037511859999999"/>
  </r>
  <r>
    <x v="0"/>
    <x v="10"/>
    <n v="8.7923989999999996"/>
    <n v="13.356"/>
    <n v="10.176299999999999"/>
    <n v="2.2444000000000002"/>
    <n v="34.569099000000001"/>
    <n v="90.890366069999999"/>
    <n v="41.18586947"/>
    <n v="5.7962132579999999"/>
    <n v="16.76703595"/>
  </r>
  <r>
    <x v="0"/>
    <x v="11"/>
    <n v="8.8421000000000003"/>
    <n v="15.858700000000001"/>
    <n v="10.686299"/>
    <n v="2.1211000000000002"/>
    <n v="37.508198999999998"/>
    <n v="97.846072460000002"/>
    <n v="46.504272499999999"/>
    <n v="6.2735251400000003"/>
    <n v="16.72574346"/>
  </r>
  <r>
    <x v="0"/>
    <x v="12"/>
    <n v="8.8292000000000002"/>
    <n v="14.682499999999999"/>
    <n v="11.0878"/>
    <n v="2.2814000000000001"/>
    <n v="36.880899999999997"/>
    <n v="95.623624390000003"/>
    <n v="44.491599000000001"/>
    <n v="6.24768978"/>
    <n v="16.94017711"/>
  </r>
  <r>
    <x v="0"/>
    <x v="13"/>
    <n v="8.9582999999999995"/>
    <n v="15.712"/>
    <n v="10.7883"/>
    <n v="2.3940000000000001"/>
    <n v="37.852600000000002"/>
    <n v="99.663246970000003"/>
    <n v="46.738709"/>
    <n v="6.3104037699999997"/>
    <n v="16.670991610000002"/>
  </r>
  <r>
    <x v="0"/>
    <x v="14"/>
    <n v="9.0061999999999998"/>
    <n v="16.129000000000001"/>
    <n v="10.9116"/>
    <n v="2.3267000000000002"/>
    <n v="38.3735"/>
    <n v="100.68365970000001"/>
    <n v="47.591614999999997"/>
    <n v="6.4031534299999997"/>
    <n v="16.686394069999999"/>
  </r>
  <r>
    <x v="0"/>
    <x v="15"/>
    <n v="8.9795999999999996"/>
    <n v="14.085699999999999"/>
    <n v="10.670899"/>
    <n v="2.3795999999999999"/>
    <n v="36.115799000000003"/>
    <n v="94.840577670000002"/>
    <n v="43.2697225"/>
    <n v="6.3652915219999997"/>
    <n v="17.624673130000001"/>
  </r>
  <r>
    <x v="0"/>
    <x v="16"/>
    <n v="9.0999990000000004"/>
    <n v="15.028600000000001"/>
    <n v="10.608399"/>
    <n v="2.5590000000000002"/>
    <n v="37.295997999999997"/>
    <n v="99.156547689999996"/>
    <n v="45.554602969999998"/>
    <n v="6.8538146610000004"/>
    <n v="18.376809919999999"/>
  </r>
  <r>
    <x v="0"/>
    <x v="17"/>
    <n v="9.0385000000000009"/>
    <n v="16.0046"/>
    <n v="10.346499"/>
    <n v="2.4828000000000001"/>
    <n v="37.872399000000001"/>
    <n v="101.1452132"/>
    <n v="47.3112645"/>
    <n v="7.331327795"/>
    <n v="19.357970420000001"/>
  </r>
  <r>
    <x v="0"/>
    <x v="18"/>
    <n v="9.0565999999999995"/>
    <n v="17.5"/>
    <n v="9.0140999999999991"/>
    <n v="2.6789000000000001"/>
    <n v="38.249600000000001"/>
    <n v="106.1256346"/>
    <n v="50.087921000000001"/>
    <n v="7.7805237570000001"/>
    <n v="20.341451299999999"/>
  </r>
  <r>
    <x v="0"/>
    <x v="19"/>
    <n v="9.0740999999999996"/>
    <n v="15.073199000000001"/>
    <n v="11.390499999999999"/>
    <n v="2.4851999999999999"/>
    <n v="38.022998999999999"/>
    <n v="99.135649950000001"/>
    <n v="45.909272909999999"/>
    <n v="8.0320023959999993"/>
    <n v="21.12406335"/>
  </r>
  <r>
    <x v="0"/>
    <x v="20"/>
    <n v="9.0443999999999996"/>
    <n v="17.595700000000001"/>
    <n v="9.9320989999999991"/>
    <n v="2.5901000000000001"/>
    <n v="39.162298999999997"/>
    <n v="106.2794956"/>
    <n v="50.601051499999997"/>
    <n v="8.8717732999999992"/>
    <n v="22.653862329999999"/>
  </r>
  <r>
    <x v="0"/>
    <x v="21"/>
    <n v="9.0908990000000003"/>
    <n v="16.152199"/>
    <n v="10.491300000000001"/>
    <n v="2.7784998000000001"/>
    <n v="38.512897799999998"/>
    <n v="103.7600114"/>
    <n v="48.184167070000001"/>
    <n v="8.3753187219999994"/>
    <n v="21.74678926"/>
  </r>
  <r>
    <x v="0"/>
    <x v="22"/>
    <n v="9.0212990000000008"/>
    <n v="15.7390995"/>
    <n v="10.5932"/>
    <n v="2.7080997999999998"/>
    <n v="38.061698300000003"/>
    <n v="101.90121619999999"/>
    <n v="47.22432311"/>
    <n v="8.0910437450000003"/>
    <n v="21.257705529999999"/>
  </r>
  <r>
    <x v="0"/>
    <x v="23"/>
    <n v="8.9970999999999997"/>
    <n v="16.2897"/>
    <n v="9.9116990000000005"/>
    <n v="2.7621000000000002"/>
    <n v="37.960599000000002"/>
    <n v="103.40219209999999"/>
    <n v="48.106282499999999"/>
    <n v="8.3822089250000005"/>
    <n v="22.081339979999999"/>
  </r>
  <r>
    <x v="0"/>
    <x v="24"/>
    <n v="8.9702999999999999"/>
    <n v="15.9079"/>
    <n v="11.317399999999999"/>
    <n v="2.61"/>
    <n v="38.805599999999998"/>
    <n v="101.96283339999999"/>
    <n v="47.75817"/>
    <n v="5.9224585699999999"/>
    <n v="15.261865739999999"/>
  </r>
  <r>
    <x v="0"/>
    <x v="25"/>
    <n v="8.9413999999999998"/>
    <n v="16.160699999999999"/>
    <n v="12.643499"/>
    <n v="2.7131999000000002"/>
    <n v="40.458798899999998"/>
    <n v="103.9782606"/>
    <n v="49.096278339999998"/>
    <n v="5.9919096730000003"/>
    <n v="14.809904980000001"/>
  </r>
  <r>
    <x v="0"/>
    <x v="26"/>
    <n v="8.8379989999999999"/>
    <n v="17.462199999999999"/>
    <n v="13.406098999999999"/>
    <n v="2.6015999999999999"/>
    <n v="42.307898000000002"/>
    <n v="107.0866414"/>
    <n v="51.967698970000001"/>
    <n v="6.8493026060000002"/>
    <n v="16.189181999999999"/>
  </r>
  <r>
    <x v="0"/>
    <x v="27"/>
    <n v="8.7927999999999997"/>
    <n v="17.982800000000001"/>
    <n v="14.123699"/>
    <n v="2.6187999999999998"/>
    <n v="43.518098999999999"/>
    <n v="108.9389901"/>
    <n v="53.417601500000004"/>
    <n v="9.2208839129999998"/>
    <n v="21.18861836"/>
  </r>
  <r>
    <x v="0"/>
    <x v="28"/>
    <n v="8.7480989999999998"/>
    <n v="16.870799999999999"/>
    <n v="16.930599999999998"/>
    <n v="2.7079"/>
    <n v="45.257398999999999"/>
    <n v="107.6225512"/>
    <n v="52.61316747"/>
    <n v="10.694185060000001"/>
    <n v="23.629694350000001"/>
  </r>
  <r>
    <x v="0"/>
    <x v="29"/>
    <n v="8.7030999999999992"/>
    <n v="18.203199999999999"/>
    <n v="16.265000000000001"/>
    <n v="2.8021997999999999"/>
    <n v="45.973499799999999"/>
    <n v="111.598018"/>
    <n v="55.189284690000001"/>
    <n v="11.99461732"/>
    <n v="26.090285420000001"/>
  </r>
  <r>
    <x v="0"/>
    <x v="30"/>
    <n v="8.6592000000000002"/>
    <n v="18.609200000000001"/>
    <n v="16.078800000000001"/>
    <n v="2.9070999999999998"/>
    <n v="46.254300000000001"/>
    <n v="113.2023379"/>
    <n v="56.086151000000001"/>
    <n v="7.5219385499999998"/>
    <n v="16.26213898"/>
  </r>
  <r>
    <x v="0"/>
    <x v="31"/>
    <n v="8.6173000000000002"/>
    <n v="19.598400000000002"/>
    <n v="14.208600000000001"/>
    <n v="2.8395000000000001"/>
    <n v="45.263800000000003"/>
    <n v="114.4901321"/>
    <n v="57.090139999999998"/>
    <n v="23.22752586"/>
    <n v="51.315898930000003"/>
  </r>
  <r>
    <x v="0"/>
    <x v="32"/>
    <n v="8.5778999999999996"/>
    <n v="19.1052"/>
    <n v="16.106200000000001"/>
    <n v="2.9885999999999999"/>
    <n v="46.777900000000002"/>
    <n v="114.8968366"/>
    <n v="57.221356999999998"/>
    <n v="18.07352934"/>
    <n v="38.63689763"/>
  </r>
  <r>
    <x v="0"/>
    <x v="33"/>
    <n v="8.5"/>
    <n v="20.5656"/>
    <n v="15.981899"/>
    <n v="3.1775000000000002"/>
    <n v="48.224998999999997"/>
    <n v="120.0307863"/>
    <n v="60.466728500000002"/>
    <n v="13.34448673"/>
    <n v="27.67130534"/>
  </r>
  <r>
    <x v="0"/>
    <x v="34"/>
    <n v="8.5"/>
    <n v="20.712499999999999"/>
    <n v="15.857799999999999"/>
    <n v="3.1537999999999999"/>
    <n v="48.2241"/>
    <n v="120.23883379999999"/>
    <n v="60.674491000000003"/>
    <n v="8.4153167750000009"/>
    <n v="17.450438210000002"/>
  </r>
  <r>
    <x v="0"/>
    <x v="35"/>
    <n v="8.4739000000000004"/>
    <n v="21.241800000000001"/>
    <n v="16.120100000000001"/>
    <n v="3.1457000000000002"/>
    <n v="48.981499999999997"/>
    <n v="121.77670519999999"/>
    <n v="61.885328000000001"/>
    <n v="9.3376552900000007"/>
    <n v="19.063636859999999"/>
  </r>
  <r>
    <x v="0"/>
    <x v="36"/>
    <n v="8.4281000000000006"/>
    <n v="21.362500000000001"/>
    <n v="16.1355"/>
    <n v="2.7496"/>
    <n v="48.675699999999999"/>
    <n v="119.4040954"/>
    <n v="61.499139999999997"/>
    <n v="13.11346268"/>
    <n v="26.940470659999999"/>
  </r>
  <r>
    <x v="0"/>
    <x v="37"/>
    <n v="8.4664000000000001"/>
    <n v="24.201599999999999"/>
    <n v="15.856799000000001"/>
    <n v="3.0339"/>
    <n v="51.558698999999997"/>
    <n v="129.51605620000001"/>
    <n v="67.760158500000003"/>
    <n v="14.111726040000001"/>
    <n v="27.370213580000001"/>
  </r>
  <r>
    <x v="0"/>
    <x v="38"/>
    <n v="8.4543999999999997"/>
    <n v="25.982399000000001"/>
    <n v="17.1723"/>
    <n v="3.1999"/>
    <n v="54.808999"/>
    <n v="136.45076990000001"/>
    <n v="72.394038910000006"/>
    <n v="15.140136849999999"/>
    <n v="27.623450760000001"/>
  </r>
  <r>
    <x v="0"/>
    <x v="39"/>
    <n v="8.4247999999999994"/>
    <n v="25.043098000000001"/>
    <n v="18.102699999999999"/>
    <n v="3.3681998000000002"/>
    <n v="54.938797800000003"/>
    <n v="135.1953795"/>
    <n v="71.144642509999997"/>
    <n v="15.26154897"/>
    <n v="27.77918262"/>
  </r>
  <r>
    <x v="0"/>
    <x v="40"/>
    <n v="8.3892000000000007"/>
    <n v="24.336698999999999"/>
    <n v="18.7041"/>
    <n v="3.5333998000000002"/>
    <n v="54.9633988"/>
    <n v="134.40023249999999"/>
    <n v="70.209464600000004"/>
    <n v="15.32451077"/>
    <n v="27.881301199999999"/>
  </r>
  <r>
    <x v="1"/>
    <x v="0"/>
    <n v="10.639900000000001"/>
    <n v="43.520297999999997"/>
    <n v="35.0336"/>
    <n v="2.2979999000000002"/>
    <n v="91.491797899999995"/>
    <n v="199.31117860000001"/>
    <n v="117.72122969999999"/>
    <n v="9.6421126929999996"/>
    <n v="10.51145094"/>
  </r>
  <r>
    <x v="1"/>
    <x v="1"/>
    <n v="11.0954"/>
    <n v="43.077100000000002"/>
    <n v="33.262"/>
    <n v="2.2512998999999998"/>
    <n v="89.685799900000006"/>
    <n v="198.41484929999999"/>
    <n v="116.0772418"/>
    <n v="9.502507993"/>
    <n v="10.452255640000001"/>
  </r>
  <r>
    <x v="1"/>
    <x v="2"/>
    <n v="11.717199000000001"/>
    <n v="41.2898"/>
    <n v="35.201599999999999"/>
    <n v="2.3229000000000002"/>
    <n v="90.531498999999997"/>
    <n v="196.96716380000001"/>
    <n v="113.7535505"/>
    <n v="9.4055449200000005"/>
    <n v="10.53293231"/>
  </r>
  <r>
    <x v="1"/>
    <x v="3"/>
    <n v="13.1140995"/>
    <n v="46.6571"/>
    <n v="37.262799999999999"/>
    <n v="2.3858999999999999"/>
    <n v="99.4198995"/>
    <n v="219.21014099999999"/>
    <n v="126.84107469999999"/>
    <n v="10.45047396"/>
    <n v="10.41253951"/>
  </r>
  <r>
    <x v="1"/>
    <x v="4"/>
    <n v="15.846"/>
    <n v="45.320796999999999"/>
    <n v="35.509500000000003"/>
    <n v="2.6509"/>
    <n v="99.327196999999998"/>
    <n v="226.00030509999999"/>
    <n v="125.03550869999999"/>
    <n v="10.38193255"/>
    <n v="10.46895447"/>
  </r>
  <r>
    <x v="1"/>
    <x v="5"/>
    <n v="15.820499"/>
    <n v="49.169097999999998"/>
    <n v="37.582299999999996"/>
    <n v="2.6073"/>
    <n v="105.179197"/>
    <n v="237.96597589999999"/>
    <n v="134.03289029999999"/>
    <n v="11.078453619999999"/>
    <n v="10.530693100000001"/>
  </r>
  <r>
    <x v="1"/>
    <x v="6"/>
    <n v="16.144200000000001"/>
    <n v="49.935997"/>
    <n v="41.140099999999997"/>
    <n v="2.5196999999999998"/>
    <n v="109.739997"/>
    <n v="242.7261814"/>
    <n v="137.4486387"/>
    <n v="11.426720550000001"/>
    <n v="10.368777440000001"/>
  </r>
  <r>
    <x v="1"/>
    <x v="7"/>
    <n v="17.716799000000002"/>
    <n v="53.164997"/>
    <n v="42.317397999999997"/>
    <n v="2.3167"/>
    <n v="115.515894"/>
    <n v="257.1702919"/>
    <n v="145.3006652"/>
    <n v="12.093306350000001"/>
    <n v="10.56417225"/>
  </r>
  <r>
    <x v="1"/>
    <x v="8"/>
    <n v="17.711500000000001"/>
    <n v="53.459899999999998"/>
    <n v="40.868600000000001"/>
    <n v="2.5329999999999999"/>
    <n v="114.57299999999999"/>
    <n v="258.63250520000003"/>
    <n v="145.52939599999999"/>
    <n v="12.065331"/>
    <n v="10.491147789999999"/>
  </r>
  <r>
    <x v="1"/>
    <x v="9"/>
    <n v="19.118300000000001"/>
    <n v="49.752696999999998"/>
    <n v="40.608600000000003"/>
    <n v="2.2913000000000001"/>
    <n v="111.77089700000001"/>
    <n v="251.2191535"/>
    <n v="138.0174767"/>
    <n v="11.58927555"/>
    <n v="10.566519080000001"/>
  </r>
  <r>
    <x v="1"/>
    <x v="10"/>
    <n v="19.579599999999999"/>
    <n v="54.720300000000002"/>
    <n v="40.461799999999997"/>
    <n v="2.2023999999999999"/>
    <n v="116.9641"/>
    <n v="266.7272188"/>
    <n v="148.43128300000001"/>
    <n v="12.356289"/>
    <n v="10.525696050000001"/>
  </r>
  <r>
    <x v="1"/>
    <x v="11"/>
    <n v="19.059999999999999"/>
    <n v="55.186897000000002"/>
    <n v="42.767097"/>
    <n v="2.6566999999999998"/>
    <n v="119.670694"/>
    <n v="270.38785489999998"/>
    <n v="150.99698219999999"/>
    <n v="12.55482937"/>
    <n v="10.496068960000001"/>
  </r>
  <r>
    <x v="1"/>
    <x v="12"/>
    <n v="21.157699999999998"/>
    <n v="57.7943"/>
    <n v="42.42"/>
    <n v="2.3037999"/>
    <n v="123.6757999"/>
    <n v="283.13231080000003"/>
    <n v="156.83063379999999"/>
    <n v="13.068226989999999"/>
    <n v="10.57269234"/>
  </r>
  <r>
    <x v="1"/>
    <x v="13"/>
    <n v="23.711600000000001"/>
    <n v="59.249797999999998"/>
    <n v="43.284798000000002"/>
    <n v="2.6432997999999999"/>
    <n v="128.88949579999999"/>
    <n v="299.3121706"/>
    <n v="162.19160550000001"/>
    <n v="13.566516569999999"/>
    <n v="10.581507950000001"/>
  </r>
  <r>
    <x v="1"/>
    <x v="14"/>
    <n v="25.041698"/>
    <n v="58.407898000000003"/>
    <n v="42.609397999999999"/>
    <n v="2.5699000000000001"/>
    <n v="128.628894"/>
    <n v="300.84452440000001"/>
    <n v="160.6840488"/>
    <n v="13.50097742"/>
    <n v="10.61105111"/>
  </r>
  <r>
    <x v="1"/>
    <x v="15"/>
    <n v="26.305698"/>
    <n v="63.247399999999999"/>
    <n v="44.461998000000001"/>
    <n v="2.5270000000000001"/>
    <n v="136.54209599999999"/>
    <n v="320.26715350000001"/>
    <n v="172.3274749"/>
    <n v="14.43617572"/>
    <n v="10.50642931"/>
  </r>
  <r>
    <x v="1"/>
    <x v="16"/>
    <n v="23.5458"/>
    <n v="61.253799999999998"/>
    <n v="43.925899999999999"/>
    <n v="2.4064999"/>
    <n v="131.13199990000001"/>
    <n v="303.36633949999998"/>
    <n v="166.24087080000001"/>
    <n v="13.875742990000001"/>
    <n v="10.379252259999999"/>
  </r>
  <r>
    <x v="1"/>
    <x v="17"/>
    <n v="27.5474"/>
    <n v="63.818100000000001"/>
    <n v="43.235199999999999"/>
    <n v="2.4388999999999998"/>
    <n v="137.03960000000001"/>
    <n v="325.20658179999998"/>
    <n v="173.426624"/>
    <n v="14.541342"/>
    <n v="10.53652862"/>
  </r>
  <r>
    <x v="1"/>
    <x v="18"/>
    <n v="29.841699999999999"/>
    <n v="65.306899999999999"/>
    <n v="46.455199999999998"/>
    <n v="2.6574"/>
    <n v="144.2612"/>
    <n v="341.02583980000003"/>
    <n v="179.70724000000001"/>
    <n v="15.156701"/>
    <n v="10.82908327"/>
  </r>
  <r>
    <x v="1"/>
    <x v="19"/>
    <n v="28.781599"/>
    <n v="58.655597999999998"/>
    <n v="44.012700000000002"/>
    <n v="2.9034"/>
    <n v="134.353297"/>
    <n v="318.05711220000001"/>
    <n v="164.4091353"/>
    <n v="13.94486762"/>
    <n v="10.63164722"/>
  </r>
  <r>
    <x v="1"/>
    <x v="20"/>
    <n v="30.703797999999999"/>
    <n v="68.054596000000004"/>
    <n v="47.551699999999997"/>
    <n v="2.8725998000000001"/>
    <n v="149.18269380000001"/>
    <n v="354.15392659999998"/>
    <n v="186.7929503"/>
    <n v="15.718677230000001"/>
    <n v="10.83419563"/>
  </r>
  <r>
    <x v="1"/>
    <x v="21"/>
    <n v="24.038699999999999"/>
    <n v="74.905600000000007"/>
    <n v="48.374600000000001"/>
    <n v="2.8237998000000002"/>
    <n v="150.1426998"/>
    <n v="350.07359969999999"/>
    <n v="197.91388069999999"/>
    <n v="16.259077990000002"/>
    <n v="10.529172190000001"/>
  </r>
  <r>
    <x v="1"/>
    <x v="22"/>
    <n v="24.4742"/>
    <n v="66.747500000000002"/>
    <n v="46.928699999999999"/>
    <n v="2.7017999000000001"/>
    <n v="140.85219989999999"/>
    <n v="326.29010849999997"/>
    <n v="180.17977680000001"/>
    <n v="14.974908989999999"/>
    <n v="10.690415639999999"/>
  </r>
  <r>
    <x v="1"/>
    <x v="23"/>
    <n v="25.604800000000001"/>
    <n v="75.418494999999993"/>
    <n v="48.110100000000003"/>
    <n v="2.3567"/>
    <n v="151.490095"/>
    <n v="354.08414090000002"/>
    <n v="198.9502675"/>
    <n v="16.412733249999999"/>
    <n v="23.30402922"/>
  </r>
  <r>
    <x v="1"/>
    <x v="24"/>
    <n v="27.831399999999999"/>
    <n v="68.247399999999999"/>
    <n v="49.511496999999999"/>
    <n v="2.9712000000000001"/>
    <n v="148.561497"/>
    <n v="345.98595990000001"/>
    <n v="186.80824050000001"/>
    <n v="15.642295819999999"/>
    <n v="19.833534799999999"/>
  </r>
  <r>
    <x v="1"/>
    <x v="25"/>
    <n v="29.107600000000001"/>
    <n v="80.564994999999996"/>
    <n v="55.043799999999997"/>
    <n v="2.9025998"/>
    <n v="167.6189948"/>
    <n v="389.07957099999999"/>
    <n v="215.8868492"/>
    <n v="17.91916724"/>
    <n v="10.75120774"/>
  </r>
  <r>
    <x v="1"/>
    <x v="26"/>
    <n v="26.478999999999999"/>
    <n v="72.548500000000004"/>
    <n v="49.866397999999997"/>
    <n v="2.8230998999999999"/>
    <n v="151.7169979"/>
    <n v="352.854174"/>
    <n v="195.02570080000001"/>
    <n v="35.35617353"/>
    <n v="26.02303156"/>
  </r>
  <r>
    <x v="1"/>
    <x v="27"/>
    <n v="30.340699999999998"/>
    <n v="72.182495000000003"/>
    <n v="49.270499999999998"/>
    <n v="2.5985999999999998"/>
    <n v="154.39229499999999"/>
    <n v="364.026205"/>
    <n v="195.6570376"/>
    <n v="30.621449550000001"/>
    <n v="10.80928961"/>
  </r>
  <r>
    <x v="1"/>
    <x v="28"/>
    <n v="28.379000000000001"/>
    <n v="83.120500000000007"/>
    <n v="55.762599999999999"/>
    <n v="2.7045998999999998"/>
    <n v="169.96669990000001"/>
    <n v="392.99301079999998"/>
    <n v="220.8902368"/>
    <n v="18.273472989999998"/>
    <n v="10.847515680000001"/>
  </r>
  <r>
    <x v="1"/>
    <x v="29"/>
    <n v="29.6524"/>
    <n v="84.603399999999993"/>
    <n v="54.851399999999998"/>
    <n v="3.0175000000000001"/>
    <n v="172.12469999999999"/>
    <n v="403.47655609999998"/>
    <n v="224.700053"/>
    <n v="44.792065000000001"/>
    <n v="10.878562860000001"/>
  </r>
  <r>
    <x v="1"/>
    <x v="30"/>
    <n v="30.780498999999999"/>
    <n v="87.726900000000001"/>
    <n v="56.095199999999998"/>
    <n v="2.9896997999999999"/>
    <n v="177.59229880000001"/>
    <n v="417.17084369999998"/>
    <n v="232.40431419999999"/>
    <n v="19.196465910000001"/>
    <n v="10.957055889999999"/>
  </r>
  <r>
    <x v="1"/>
    <x v="31"/>
    <n v="30.828399999999998"/>
    <n v="88.539599999999993"/>
    <n v="55.261997000000001"/>
    <n v="3.1166999999999998"/>
    <n v="177.74669700000001"/>
    <n v="420.089291"/>
    <n v="233.9110335"/>
    <n v="19.281100819999999"/>
    <n v="10.895894240000001"/>
  </r>
  <r>
    <x v="1"/>
    <x v="32"/>
    <n v="33.058799999999998"/>
    <n v="92.453500000000005"/>
    <n v="56.26"/>
    <n v="2.9422000000000001"/>
    <n v="184.71449999999999"/>
    <n v="439.00651829999998"/>
    <n v="243.498233"/>
    <n v="20.094283000000001"/>
    <n v="10.94656048"/>
  </r>
  <r>
    <x v="1"/>
    <x v="33"/>
    <n v="34.0184"/>
    <n v="94.8245"/>
    <n v="54.558197"/>
    <n v="3.1153998000000001"/>
    <n v="186.5164968"/>
    <n v="449.61043389999998"/>
    <n v="248.38323320000001"/>
    <n v="20.43671681"/>
    <n v="10.607834069999999"/>
  </r>
  <r>
    <x v="1"/>
    <x v="34"/>
    <n v="32.251300000000001"/>
    <n v="90.732795999999993"/>
    <n v="54.462200000000003"/>
    <n v="3.1673"/>
    <n v="180.613596"/>
    <n v="431.54743409999998"/>
    <n v="238.9284936"/>
    <n v="19.679466399999999"/>
    <n v="10.64240841"/>
  </r>
  <r>
    <x v="1"/>
    <x v="35"/>
    <n v="35.806199999999997"/>
    <n v="97.1661"/>
    <n v="55.949497000000001"/>
    <n v="2.9378000000000002"/>
    <n v="191.85959700000001"/>
    <n v="462.52714859999998"/>
    <n v="254.64152949999999"/>
    <n v="21.002026820000001"/>
    <n v="10.65181306"/>
  </r>
  <r>
    <x v="1"/>
    <x v="36"/>
    <n v="35.084899999999998"/>
    <n v="89.461494000000002"/>
    <n v="63.123699999999999"/>
    <n v="2.9298999999999999"/>
    <n v="190.59999400000001"/>
    <n v="441.25014390000001"/>
    <n v="241.7313125"/>
    <n v="20.2185311"/>
    <n v="18.034275770000001"/>
  </r>
  <r>
    <x v="1"/>
    <x v="37"/>
    <n v="33.849699999999999"/>
    <n v="91.139799999999994"/>
    <n v="63.503300000000003"/>
    <n v="3.5407999000000001"/>
    <n v="192.03359990000001"/>
    <n v="445.8254316"/>
    <n v="245.73322880000001"/>
    <n v="20.43699999"/>
    <n v="10.905364110000001"/>
  </r>
  <r>
    <x v="1"/>
    <x v="38"/>
    <n v="34.137397999999997"/>
    <n v="88.647994999999995"/>
    <n v="60.954197000000001"/>
    <n v="3.1174998"/>
    <n v="186.85708980000001"/>
    <n v="435.48579480000001"/>
    <n v="238.7387037"/>
    <n v="19.903667899999999"/>
    <n v="20"/>
  </r>
  <r>
    <x v="1"/>
    <x v="39"/>
    <n v="32.356400000000001"/>
    <n v="96.822699999999998"/>
    <n v="62.334797000000002"/>
    <n v="3.2004999999999999"/>
    <n v="194.71439699999999"/>
    <n v="454.14661330000001"/>
    <n v="255.70051849999999"/>
    <n v="35.115331320000003"/>
    <n v="20"/>
  </r>
  <r>
    <x v="1"/>
    <x v="40"/>
    <n v="31.2836"/>
    <n v="98.038399999999996"/>
    <n v="60.540199999999999"/>
    <n v="3.4745998"/>
    <n v="193.33679979999999"/>
    <n v="454.60852920000002"/>
    <n v="257.20578569999998"/>
    <n v="21.084081990000001"/>
    <n v="20"/>
  </r>
  <r>
    <x v="2"/>
    <x v="0"/>
    <n v="16.4848"/>
    <n v="17.540099999999999"/>
    <n v="32.743600000000001"/>
    <n v="3.1606000000000001"/>
    <n v="69.929100000000005"/>
    <n v="149.1038853"/>
    <n v="66.729695000000007"/>
    <n v="13.98582"/>
    <n v="25.70158275"/>
  </r>
  <r>
    <x v="2"/>
    <x v="1"/>
    <n v="16.221599999999999"/>
    <n v="17.712900000000001"/>
    <n v="33.117199999999997"/>
    <n v="3.1174998"/>
    <n v="70.169199800000001"/>
    <n v="148.5745909"/>
    <n v="67.070483690000003"/>
    <n v="14.03383996"/>
    <n v="26.394226969999998"/>
  </r>
  <r>
    <x v="2"/>
    <x v="2"/>
    <n v="16.506899000000001"/>
    <n v="17.9893"/>
    <n v="38.232199999999999"/>
    <n v="3.2974000000000001"/>
    <n v="76.025799000000006"/>
    <n v="154.33689480000001"/>
    <n v="70.639311469999996"/>
    <n v="15.205159800000001"/>
    <n v="26.527731540000001"/>
  </r>
  <r>
    <x v="2"/>
    <x v="3"/>
    <n v="15.596"/>
    <n v="19.662299999999998"/>
    <n v="39.468000000000004"/>
    <n v="3.4961997999999999"/>
    <n v="78.222499799999994"/>
    <n v="157.86443270000001"/>
    <n v="74.583120690000001"/>
    <n v="15.644499959999999"/>
    <n v="25.794971060000002"/>
  </r>
  <r>
    <x v="2"/>
    <x v="4"/>
    <n v="15.872999"/>
    <n v="21.028700000000001"/>
    <n v="31.16"/>
    <n v="3.5995998"/>
    <n v="71.661298799999997"/>
    <n v="159.05046730000001"/>
    <n v="73.594044159999996"/>
    <n v="14.332259759999999"/>
    <n v="25.16301983"/>
  </r>
  <r>
    <x v="2"/>
    <x v="5"/>
    <n v="15.842499999999999"/>
    <n v="22.195900000000002"/>
    <n v="47.793100000000003"/>
    <n v="3.6667999999999998"/>
    <n v="89.4983"/>
    <n v="171.7381944"/>
    <n v="84.439381999999995"/>
    <n v="17.899660000000001"/>
    <n v="25.352586540000001"/>
  </r>
  <r>
    <x v="2"/>
    <x v="6"/>
    <n v="16.326499999999999"/>
    <n v="24.673999999999999"/>
    <n v="46.335697000000003"/>
    <n v="3.7589997999999998"/>
    <n v="91.095196799999997"/>
    <n v="180.5351474"/>
    <n v="89.291183189999998"/>
    <n v="23.412907390000001"/>
    <n v="26.047799990000001"/>
  </r>
  <r>
    <x v="2"/>
    <x v="7"/>
    <n v="17.099599999999999"/>
    <n v="26.922799999999999"/>
    <n v="41.403500000000001"/>
    <n v="3.8028"/>
    <n v="89.228700000000003"/>
    <n v="187.52737809999999"/>
    <n v="92.003585999999999"/>
    <n v="23.551225599999999"/>
    <n v="26.659954670000001"/>
  </r>
  <r>
    <x v="2"/>
    <x v="8"/>
    <n v="17.755099999999999"/>
    <n v="29.2134"/>
    <n v="42"/>
    <n v="4.7157999999999998"/>
    <n v="93.684299999999993"/>
    <n v="202.82489219999999"/>
    <n v="98.870014999999995"/>
    <n v="24.852319600000001"/>
    <n v="26.497634900000001"/>
  </r>
  <r>
    <x v="2"/>
    <x v="9"/>
    <n v="17.327999999999999"/>
    <n v="24.942"/>
    <n v="41.478700000000003"/>
    <n v="4.7510000000000003"/>
    <n v="88.499700000000004"/>
    <n v="188.76374960000001"/>
    <n v="89.511039999999994"/>
    <n v="22.828472000000001"/>
    <n v="27.350137069999999"/>
  </r>
  <r>
    <x v="2"/>
    <x v="10"/>
    <n v="16.005299999999998"/>
    <n v="22.387899999999998"/>
    <n v="44.146796999999999"/>
    <n v="4.9416000000000002"/>
    <n v="87.481596999999994"/>
    <n v="179.1858561"/>
    <n v="85.105230500000005"/>
    <n v="22.013011599999999"/>
    <n v="29.73983076"/>
  </r>
  <r>
    <x v="2"/>
    <x v="11"/>
    <n v="16.976799"/>
    <n v="27.162099999999999"/>
    <n v="54.952399999999997"/>
    <n v="5.1966999999999999"/>
    <n v="104.287999"/>
    <n v="204.1095723"/>
    <n v="101.4015115"/>
    <n v="26.439705199999999"/>
    <n v="29.805041469999999"/>
  </r>
  <r>
    <x v="2"/>
    <x v="12"/>
    <n v="16.552"/>
    <n v="27.545300000000001"/>
    <n v="45.648598"/>
    <n v="4.8163"/>
    <n v="94.562197999999995"/>
    <n v="196.209509"/>
    <n v="96.728127000000001"/>
    <n v="24.631372200000001"/>
    <n v="29.52928743"/>
  </r>
  <r>
    <x v="2"/>
    <x v="13"/>
    <n v="15.306800000000001"/>
    <n v="30.871697999999999"/>
    <n v="45.082599999999999"/>
    <n v="5.2545999999999999"/>
    <n v="96.515698"/>
    <n v="203.9277472"/>
    <n v="103.4254748"/>
    <n v="25.731041340000001"/>
    <n v="29.142129180000001"/>
  </r>
  <r>
    <x v="2"/>
    <x v="14"/>
    <n v="15.833299999999999"/>
    <n v="32.300198000000002"/>
    <n v="50.469299999999997"/>
    <n v="5.2969999999999997"/>
    <n v="103.899798"/>
    <n v="213.18110820000001"/>
    <n v="109.45000279999999"/>
    <n v="27.530989139999999"/>
    <n v="29.15114204"/>
  </r>
  <r>
    <x v="2"/>
    <x v="15"/>
    <n v="14.071400000000001"/>
    <n v="33.737400000000001"/>
    <n v="44.047600000000003"/>
    <n v="5.0025997000000002"/>
    <n v="96.858999699999998"/>
    <n v="205.61208999999999"/>
    <n v="107.8468895"/>
    <n v="26.49106918"/>
    <n v="29.155577839999999"/>
  </r>
  <r>
    <x v="2"/>
    <x v="16"/>
    <n v="14.6256"/>
    <n v="33.709198000000001"/>
    <n v="22.505099999999999"/>
    <n v="5.4221000000000004"/>
    <n v="76.261998000000006"/>
    <n v="198.6567627"/>
    <n v="97.969038819999994"/>
    <n v="22.68018914"/>
    <n v="29.131539969999999"/>
  </r>
  <r>
    <x v="2"/>
    <x v="17"/>
    <n v="14.299099999999999"/>
    <n v="34.625100000000003"/>
    <n v="23.208300000000001"/>
    <n v="5.6383999999999999"/>
    <n v="77.770899999999997"/>
    <n v="201.92357519999999"/>
    <n v="100.40142"/>
    <n v="23.179649000000001"/>
    <n v="29.062245600000001"/>
  </r>
  <r>
    <x v="2"/>
    <x v="18"/>
    <n v="14.2218"/>
    <n v="34.831200000000003"/>
    <n v="25.890999000000001"/>
    <n v="5.5994000000000002"/>
    <n v="80.543398999999994"/>
    <n v="203.4363438"/>
    <n v="102.0713195"/>
    <n v="23.783891799999999"/>
    <n v="29.159362340000001"/>
  </r>
  <r>
    <x v="2"/>
    <x v="19"/>
    <n v="15.451098999999999"/>
    <n v="32.459800000000001"/>
    <n v="23.831700000000001"/>
    <n v="5.9895997000000003"/>
    <n v="77.732198699999998"/>
    <n v="202.4005319"/>
    <n v="97.349586000000002"/>
    <n v="22.652817760000001"/>
    <n v="29.332942580000001"/>
  </r>
  <r>
    <x v="2"/>
    <x v="20"/>
    <n v="14.024799"/>
    <n v="33.122498"/>
    <n v="25.5931"/>
    <n v="6.3466997000000003"/>
    <n v="79.087096700000004"/>
    <n v="202.41965060000001"/>
    <n v="99.420032820000003"/>
    <n v="23.054791900000001"/>
    <n v="29.330657129999999"/>
  </r>
  <r>
    <x v="2"/>
    <x v="21"/>
    <n v="15.324199999999999"/>
    <n v="34.719099999999997"/>
    <n v="26.677099999999999"/>
    <n v="6.3422000000000001"/>
    <n v="83.062600000000003"/>
    <n v="212.34706009999999"/>
    <n v="103.980549"/>
    <n v="24.217381"/>
    <n v="29.074616169999999"/>
  </r>
  <r>
    <x v="2"/>
    <x v="22"/>
    <n v="14.949598999999999"/>
    <n v="35.019300000000001"/>
    <n v="27.700099999999999"/>
    <n v="6.3579999999999997"/>
    <n v="84.026999000000004"/>
    <n v="212.5164858"/>
    <n v="104.9457345"/>
    <n v="24.478358799999999"/>
    <n v="29.047290910000001"/>
  </r>
  <r>
    <x v="2"/>
    <x v="23"/>
    <n v="15.8446"/>
    <n v="35.454500000000003"/>
    <n v="27.989799999999999"/>
    <n v="6.4344996999999999"/>
    <n v="85.723399700000002"/>
    <n v="217.68581130000001"/>
    <n v="106.5946075"/>
    <n v="24.91314496"/>
    <n v="28.569504760000001"/>
  </r>
  <r>
    <x v="2"/>
    <x v="24"/>
    <n v="15.636499000000001"/>
    <n v="37.000399999999999"/>
    <n v="29.516400000000001"/>
    <n v="6.5000996999999998"/>
    <n v="88.653398699999997"/>
    <n v="222.68679159999999"/>
    <n v="110.581537"/>
    <n v="25.850765760000002"/>
    <n v="28.979324559999998"/>
  </r>
  <r>
    <x v="2"/>
    <x v="25"/>
    <n v="15.743798999999999"/>
    <n v="39.150799999999997"/>
    <n v="30.816299999999998"/>
    <n v="6.5566997999999996"/>
    <n v="92.267598800000002"/>
    <n v="230.41518199999999"/>
    <n v="115.87155420000001"/>
    <n v="27.064801769999999"/>
    <n v="28.923938190000001"/>
  </r>
  <r>
    <x v="2"/>
    <x v="26"/>
    <n v="15.8621"/>
    <n v="38.974400000000003"/>
    <n v="30.567"/>
    <n v="6.4928999999999997"/>
    <n v="91.8964"/>
    <n v="229.78233019999999"/>
    <n v="115.340762"/>
    <n v="26.953817999999998"/>
    <n v="28.574781649999998"/>
  </r>
  <r>
    <x v="2"/>
    <x v="27"/>
    <n v="18.333300000000001"/>
    <n v="38.962699999999998"/>
    <n v="30.774699999999999"/>
    <n v="6.4302998000000002"/>
    <n v="94.500999800000002"/>
    <n v="238.4231489"/>
    <n v="116.63161270000001"/>
    <n v="27.47580297"/>
    <n v="28.986026089999999"/>
  </r>
  <r>
    <x v="2"/>
    <x v="28"/>
    <n v="16.314699999999998"/>
    <n v="38.288997999999999"/>
    <n v="31.978199"/>
    <n v="6.4672999999999998"/>
    <n v="93.049197000000007"/>
    <n v="230.0200232"/>
    <n v="114.8135573"/>
    <n v="27.028270939999999"/>
    <n v="30.60542156"/>
  </r>
  <r>
    <x v="2"/>
    <x v="29"/>
    <n v="16.587900000000001"/>
    <n v="38.322597999999999"/>
    <n v="36.888599999999997"/>
    <n v="6.5030999999999999"/>
    <n v="98.302198000000004"/>
    <n v="233.98627500000001"/>
    <n v="117.5399838"/>
    <n v="28.084451139999999"/>
    <n v="23.202965389999999"/>
  </r>
  <r>
    <x v="2"/>
    <x v="30"/>
    <n v="17.474499000000002"/>
    <n v="40.814100000000003"/>
    <n v="35.606299999999997"/>
    <n v="6.3828997999999997"/>
    <n v="100.2777988"/>
    <n v="243.0014286"/>
    <n v="122.3872562"/>
    <n v="29.059828769999999"/>
    <n v="19.172837040000001"/>
  </r>
  <r>
    <x v="2"/>
    <x v="31"/>
    <n v="17.083600000000001"/>
    <n v="39.489800000000002"/>
    <n v="35.883299999999998"/>
    <n v="5.5740999999999996"/>
    <n v="98.030799999999999"/>
    <n v="232.6283225"/>
    <n v="118.28097699999999"/>
    <n v="28.354368000000001"/>
    <n v="19.106970100000002"/>
  </r>
  <r>
    <x v="2"/>
    <x v="32"/>
    <n v="16.902000000000001"/>
    <n v="38.152099999999997"/>
    <n v="36.159700000000001"/>
    <n v="6.5427999999999997"/>
    <n v="97.756600000000006"/>
    <n v="234.49361709999999"/>
    <n v="117.047995"/>
    <n v="27.933734999999999"/>
    <n v="19.192851999999998"/>
  </r>
  <r>
    <x v="2"/>
    <x v="33"/>
    <n v="16.325199999999999"/>
    <n v="39.858699999999999"/>
    <n v="34.8583"/>
    <n v="6.5822997000000001"/>
    <n v="97.624499700000001"/>
    <n v="236.93290110000001"/>
    <n v="119.7203995"/>
    <n v="28.297462960000001"/>
    <n v="19.343449870000001"/>
  </r>
  <r>
    <x v="2"/>
    <x v="34"/>
    <n v="16.0227"/>
    <n v="40.387300000000003"/>
    <n v="20.737299"/>
    <n v="6.6681999999999997"/>
    <n v="83.815499000000003"/>
    <n v="230.32786830000001"/>
    <n v="113.7392115"/>
    <n v="25.652086799999999"/>
    <n v="19.308792879999999"/>
  </r>
  <r>
    <x v="2"/>
    <x v="35"/>
    <n v="15.768599500000001"/>
    <n v="38.726300000000002"/>
    <n v="36.579000000000001"/>
    <n v="6.1752000000000002"/>
    <n v="97.2490995"/>
    <n v="229.8987228"/>
    <n v="117.2798887"/>
    <n v="22.5646749"/>
    <n v="10.53877278"/>
  </r>
  <r>
    <x v="2"/>
    <x v="36"/>
    <n v="15.043900000000001"/>
    <n v="39.307600000000001"/>
    <n v="36.723697999999999"/>
    <n v="6.5918999999999999"/>
    <n v="97.667097999999996"/>
    <n v="231.74219890000001"/>
    <n v="118.837283"/>
    <n v="18.72555354"/>
    <n v="10.59533171"/>
  </r>
  <r>
    <x v="2"/>
    <x v="37"/>
    <n v="15.037299000000001"/>
    <n v="39.577399999999997"/>
    <n v="35.413899999999998"/>
    <n v="6.6310997"/>
    <n v="96.659698700000007"/>
    <n v="232.05372439999999"/>
    <n v="118.804311"/>
    <n v="18.468739729999999"/>
    <n v="10.38925128"/>
  </r>
  <r>
    <x v="2"/>
    <x v="38"/>
    <n v="17.529199999999999"/>
    <n v="40.485900000000001"/>
    <n v="36.4148"/>
    <n v="6.8596997000000002"/>
    <n v="101.2895997"/>
    <n v="245.76781539999999"/>
    <n v="122.88313549999999"/>
    <n v="19.440362960000002"/>
    <n v="20"/>
  </r>
  <r>
    <x v="2"/>
    <x v="39"/>
    <n v="19.492699000000002"/>
    <n v="38.773899999999998"/>
    <n v="35.762999999999998"/>
    <n v="6.2942"/>
    <n v="100.32379899999999"/>
    <n v="243.8850544"/>
    <n v="119.1319755"/>
    <n v="19.406083769999999"/>
    <n v="20"/>
  </r>
  <r>
    <x v="2"/>
    <x v="40"/>
    <n v="19"/>
    <n v="39"/>
    <n v="35.874099999999999"/>
    <n v="6.5003000000000002"/>
    <n v="100.37439999999999"/>
    <n v="244.15173429999999"/>
    <n v="119.722521"/>
    <n v="19.381084999999999"/>
    <n v="2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10745DC-1712-4CFC-B7DB-B6A5E1BDCBF2}"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21:B25" firstHeaderRow="1" firstDataRow="1" firstDataCol="1" rowPageCount="1" colPageCount="1"/>
  <pivotFields count="11">
    <pivotField axis="axisRow" showAll="0">
      <items count="4">
        <item x="2"/>
        <item x="0"/>
        <item x="1"/>
        <item t="default"/>
      </items>
    </pivotField>
    <pivotField axis="axisPage" multipleItemSelectionAllowed="1" showAll="0">
      <items count="42">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h="1" x="39"/>
        <item x="40"/>
        <item t="default"/>
      </items>
    </pivotField>
    <pivotField showAll="0"/>
    <pivotField showAll="0"/>
    <pivotField showAll="0"/>
    <pivotField showAll="0"/>
    <pivotField dataField="1" showAll="0"/>
    <pivotField showAll="0"/>
    <pivotField showAll="0"/>
    <pivotField showAll="0"/>
    <pivotField showAll="0"/>
  </pivotFields>
  <rowFields count="1">
    <field x="0"/>
  </rowFields>
  <rowItems count="4">
    <i>
      <x/>
    </i>
    <i>
      <x v="1"/>
    </i>
    <i>
      <x v="2"/>
    </i>
    <i t="grand">
      <x/>
    </i>
  </rowItems>
  <colItems count="1">
    <i/>
  </colItems>
  <pageFields count="1">
    <pageField fld="1" hier="-1"/>
  </pageFields>
  <dataFields count="1">
    <dataField name="Sum of totalFoodProduced_t"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3FE20B2-96AF-4853-B17D-4C0861AA86F3}"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2:B16" firstHeaderRow="1" firstDataRow="1" firstDataCol="1" rowPageCount="1" colPageCount="1"/>
  <pivotFields count="11">
    <pivotField axis="axisRow" showAll="0">
      <items count="4">
        <item x="2"/>
        <item x="0"/>
        <item x="1"/>
        <item t="default"/>
      </items>
    </pivotField>
    <pivotField axis="axisPage" multipleItemSelectionAllowed="1" showAll="0">
      <items count="42">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h="1" x="39"/>
        <item x="40"/>
        <item t="default"/>
      </items>
    </pivotField>
    <pivotField showAll="0"/>
    <pivotField showAll="0"/>
    <pivotField showAll="0"/>
    <pivotField showAll="0"/>
    <pivotField showAll="0"/>
    <pivotField showAll="0"/>
    <pivotField showAll="0"/>
    <pivotField showAll="0"/>
    <pivotField dataField="1" showAll="0"/>
  </pivotFields>
  <rowFields count="1">
    <field x="0"/>
  </rowFields>
  <rowItems count="4">
    <i>
      <x/>
    </i>
    <i>
      <x v="1"/>
    </i>
    <i>
      <x v="2"/>
    </i>
    <i t="grand">
      <x/>
    </i>
  </rowItems>
  <colItems count="1">
    <i/>
  </colItems>
  <pageFields count="1">
    <pageField fld="1" hier="-1"/>
  </pageFields>
  <dataFields count="1">
    <dataField name="Sum of percentageLoss" fld="1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119B7B4-84AF-4BCF-8667-3B54FF11BC85}"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C7" firstHeaderRow="0" firstDataRow="1" firstDataCol="1" rowPageCount="1" colPageCount="1"/>
  <pivotFields count="11">
    <pivotField axis="axisRow" showAll="0">
      <items count="4">
        <item x="2"/>
        <item x="0"/>
        <item x="1"/>
        <item t="default"/>
      </items>
    </pivotField>
    <pivotField axis="axisPage" multipleItemSelectionAllowed="1" showAll="0">
      <items count="42">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h="1" x="39"/>
        <item x="40"/>
        <item t="default"/>
      </items>
    </pivotField>
    <pivotField showAll="0"/>
    <pivotField showAll="0"/>
    <pivotField showAll="0"/>
    <pivotField showAll="0"/>
    <pivotField showAll="0"/>
    <pivotField dataField="1" showAll="0"/>
    <pivotField dataField="1" showAll="0"/>
    <pivotField showAll="0"/>
    <pivotField showAll="0"/>
  </pivotFields>
  <rowFields count="1">
    <field x="0"/>
  </rowFields>
  <rowItems count="4">
    <i>
      <x/>
    </i>
    <i>
      <x v="1"/>
    </i>
    <i>
      <x v="2"/>
    </i>
    <i t="grand">
      <x/>
    </i>
  </rowItems>
  <colFields count="1">
    <field x="-2"/>
  </colFields>
  <colItems count="2">
    <i>
      <x/>
    </i>
    <i i="1">
      <x v="1"/>
    </i>
  </colItems>
  <pageFields count="1">
    <pageField fld="1" hier="-1"/>
  </pageFields>
  <dataFields count="2">
    <dataField name="Sum of totalEmissions_t" fld="8" baseField="0" baseItem="0"/>
    <dataField name="Sum of totalWaterUsed_kL_by100"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04D86172-2A3B-47E5-8B5B-D9C640381497}" sourceName="year">
  <pivotTables>
    <pivotTable tabId="2" name="PivotTable2"/>
    <pivotTable tabId="2" name="PivotTable1"/>
    <pivotTable tabId="2" name="PivotTable3"/>
  </pivotTables>
  <data>
    <tabular pivotCacheId="941708446">
      <items count="41">
        <i x="0"/>
        <i x="1"/>
        <i x="2"/>
        <i x="3"/>
        <i x="4"/>
        <i x="5"/>
        <i x="6"/>
        <i x="7"/>
        <i x="8"/>
        <i x="9"/>
        <i x="10"/>
        <i x="11"/>
        <i x="12"/>
        <i x="13"/>
        <i x="14"/>
        <i x="15"/>
        <i x="16"/>
        <i x="17"/>
        <i x="18"/>
        <i x="19"/>
        <i x="20"/>
        <i x="21"/>
        <i x="22"/>
        <i x="23"/>
        <i x="24"/>
        <i x="25"/>
        <i x="26"/>
        <i x="27"/>
        <i x="28"/>
        <i x="29"/>
        <i x="30"/>
        <i x="31"/>
        <i x="32"/>
        <i x="33"/>
        <i x="34"/>
        <i x="35"/>
        <i x="36"/>
        <i x="37"/>
        <i x="38"/>
        <i x="39"/>
        <i x="4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7987F9FF-8302-4FF0-B8A2-44E7295F7617}" cache="Slicer_year" caption="year" rowHeight="2476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8250F8-5BFB-458B-99B6-F6E822E5750C}">
  <sheetPr codeName="Sheet1"/>
  <dimension ref="A1:K25"/>
  <sheetViews>
    <sheetView zoomScale="55" zoomScaleNormal="95" workbookViewId="0">
      <selection activeCell="F39" sqref="F39"/>
    </sheetView>
  </sheetViews>
  <sheetFormatPr defaultRowHeight="14.4" x14ac:dyDescent="0.3"/>
  <cols>
    <col min="1" max="1" width="18.44140625" bestFit="1" customWidth="1"/>
    <col min="2" max="2" width="34.6640625" bestFit="1" customWidth="1"/>
    <col min="3" max="3" width="40.109375" bestFit="1" customWidth="1"/>
    <col min="4" max="4" width="12.77734375" customWidth="1"/>
    <col min="5" max="5" width="9.88671875" customWidth="1"/>
    <col min="6" max="6" width="29" bestFit="1" customWidth="1"/>
    <col min="7" max="7" width="25.6640625" bestFit="1" customWidth="1"/>
    <col min="8" max="9" width="33.6640625" bestFit="1" customWidth="1"/>
    <col min="10" max="10" width="21" bestFit="1" customWidth="1"/>
    <col min="11" max="11" width="29" bestFit="1" customWidth="1"/>
    <col min="12" max="12" width="21" bestFit="1" customWidth="1"/>
    <col min="13" max="13" width="29" bestFit="1" customWidth="1"/>
    <col min="14" max="14" width="21" bestFit="1" customWidth="1"/>
    <col min="15" max="15" width="29" bestFit="1" customWidth="1"/>
    <col min="16" max="16" width="21" bestFit="1" customWidth="1"/>
    <col min="17" max="17" width="29" bestFit="1" customWidth="1"/>
    <col min="18" max="18" width="21" bestFit="1" customWidth="1"/>
    <col min="19" max="19" width="29" bestFit="1" customWidth="1"/>
    <col min="20" max="20" width="21" bestFit="1" customWidth="1"/>
    <col min="21" max="21" width="29" bestFit="1" customWidth="1"/>
    <col min="22" max="22" width="21" bestFit="1" customWidth="1"/>
    <col min="23" max="23" width="29" bestFit="1" customWidth="1"/>
    <col min="24" max="24" width="21" bestFit="1" customWidth="1"/>
    <col min="25" max="25" width="29" bestFit="1" customWidth="1"/>
    <col min="26" max="26" width="21" bestFit="1" customWidth="1"/>
    <col min="27" max="27" width="29" bestFit="1" customWidth="1"/>
    <col min="28" max="28" width="21" bestFit="1" customWidth="1"/>
    <col min="29" max="29" width="29" bestFit="1" customWidth="1"/>
    <col min="30" max="30" width="21" bestFit="1" customWidth="1"/>
    <col min="31" max="31" width="29" bestFit="1" customWidth="1"/>
    <col min="32" max="32" width="21" bestFit="1" customWidth="1"/>
    <col min="33" max="33" width="29" bestFit="1" customWidth="1"/>
    <col min="34" max="34" width="21" bestFit="1" customWidth="1"/>
    <col min="35" max="35" width="29" bestFit="1" customWidth="1"/>
    <col min="36" max="36" width="21" bestFit="1" customWidth="1"/>
    <col min="37" max="37" width="29" bestFit="1" customWidth="1"/>
    <col min="38" max="38" width="21" bestFit="1" customWidth="1"/>
    <col min="39" max="39" width="29" bestFit="1" customWidth="1"/>
    <col min="40" max="40" width="21" bestFit="1" customWidth="1"/>
    <col min="41" max="41" width="29" bestFit="1" customWidth="1"/>
    <col min="42" max="42" width="21" bestFit="1" customWidth="1"/>
    <col min="43" max="43" width="29" bestFit="1" customWidth="1"/>
    <col min="44" max="44" width="21" bestFit="1" customWidth="1"/>
    <col min="45" max="45" width="29" bestFit="1" customWidth="1"/>
    <col min="46" max="46" width="21" bestFit="1" customWidth="1"/>
    <col min="47" max="47" width="29" bestFit="1" customWidth="1"/>
    <col min="48" max="48" width="21" bestFit="1" customWidth="1"/>
    <col min="49" max="49" width="29" bestFit="1" customWidth="1"/>
    <col min="50" max="50" width="21" bestFit="1" customWidth="1"/>
    <col min="51" max="51" width="29" bestFit="1" customWidth="1"/>
    <col min="52" max="52" width="21" bestFit="1" customWidth="1"/>
    <col min="53" max="53" width="29" bestFit="1" customWidth="1"/>
    <col min="54" max="54" width="21" bestFit="1" customWidth="1"/>
    <col min="55" max="55" width="29" bestFit="1" customWidth="1"/>
    <col min="56" max="56" width="21" bestFit="1" customWidth="1"/>
    <col min="57" max="57" width="29" bestFit="1" customWidth="1"/>
    <col min="58" max="58" width="21" bestFit="1" customWidth="1"/>
    <col min="59" max="59" width="29" bestFit="1" customWidth="1"/>
    <col min="60" max="60" width="21" bestFit="1" customWidth="1"/>
    <col min="61" max="61" width="29" bestFit="1" customWidth="1"/>
    <col min="62" max="62" width="21" bestFit="1" customWidth="1"/>
    <col min="63" max="63" width="29" bestFit="1" customWidth="1"/>
    <col min="64" max="64" width="21" bestFit="1" customWidth="1"/>
    <col min="65" max="65" width="29" bestFit="1" customWidth="1"/>
    <col min="66" max="66" width="21" bestFit="1" customWidth="1"/>
    <col min="67" max="67" width="29" bestFit="1" customWidth="1"/>
    <col min="68" max="68" width="21" bestFit="1" customWidth="1"/>
    <col min="69" max="69" width="29" bestFit="1" customWidth="1"/>
    <col min="70" max="70" width="21" bestFit="1" customWidth="1"/>
    <col min="71" max="71" width="29" bestFit="1" customWidth="1"/>
    <col min="72" max="72" width="21" bestFit="1" customWidth="1"/>
    <col min="73" max="73" width="29" bestFit="1" customWidth="1"/>
    <col min="74" max="74" width="21" bestFit="1" customWidth="1"/>
    <col min="75" max="75" width="29" bestFit="1" customWidth="1"/>
    <col min="76" max="76" width="21" bestFit="1" customWidth="1"/>
    <col min="77" max="77" width="29" bestFit="1" customWidth="1"/>
    <col min="78" max="78" width="21" bestFit="1" customWidth="1"/>
    <col min="79" max="79" width="29" bestFit="1" customWidth="1"/>
    <col min="80" max="80" width="21" bestFit="1" customWidth="1"/>
    <col min="81" max="81" width="29" bestFit="1" customWidth="1"/>
    <col min="82" max="82" width="21" bestFit="1" customWidth="1"/>
    <col min="83" max="83" width="29" bestFit="1" customWidth="1"/>
    <col min="84" max="84" width="25.6640625" bestFit="1" customWidth="1"/>
    <col min="85" max="85" width="33.6640625" bestFit="1" customWidth="1"/>
  </cols>
  <sheetData>
    <row r="1" spans="1:11" x14ac:dyDescent="0.3">
      <c r="A1" s="1" t="s">
        <v>1</v>
      </c>
      <c r="B1" s="2">
        <v>2019</v>
      </c>
      <c r="F1">
        <f>B1</f>
        <v>2019</v>
      </c>
    </row>
    <row r="2" spans="1:11" x14ac:dyDescent="0.3">
      <c r="I2" t="str">
        <f>E13</f>
        <v>Egypt</v>
      </c>
      <c r="J2" t="str">
        <f>E14</f>
        <v>India</v>
      </c>
      <c r="K2" t="str">
        <f>E15</f>
        <v>USA</v>
      </c>
    </row>
    <row r="3" spans="1:11" x14ac:dyDescent="0.3">
      <c r="A3" s="1" t="s">
        <v>14</v>
      </c>
      <c r="B3" t="s">
        <v>16</v>
      </c>
      <c r="C3" t="s">
        <v>17</v>
      </c>
    </row>
    <row r="4" spans="1:11" x14ac:dyDescent="0.3">
      <c r="A4" s="2" t="s">
        <v>13</v>
      </c>
      <c r="B4">
        <v>119.722521</v>
      </c>
      <c r="C4">
        <v>244.15173429999999</v>
      </c>
      <c r="E4" t="str">
        <f t="shared" ref="E4:E6" si="0">A4</f>
        <v>Egypt</v>
      </c>
      <c r="F4">
        <f>B4</f>
        <v>119.722521</v>
      </c>
      <c r="G4">
        <f t="shared" ref="G4:G6" si="1">C4</f>
        <v>244.15173429999999</v>
      </c>
    </row>
    <row r="5" spans="1:11" x14ac:dyDescent="0.3">
      <c r="A5" s="2" t="s">
        <v>11</v>
      </c>
      <c r="B5">
        <v>70.209464600000004</v>
      </c>
      <c r="C5">
        <v>134.40023249999999</v>
      </c>
      <c r="E5" t="str">
        <f t="shared" si="0"/>
        <v>India</v>
      </c>
      <c r="F5">
        <f t="shared" ref="F5:F6" si="2">B5</f>
        <v>70.209464600000004</v>
      </c>
      <c r="G5">
        <f t="shared" si="1"/>
        <v>134.40023249999999</v>
      </c>
    </row>
    <row r="6" spans="1:11" x14ac:dyDescent="0.3">
      <c r="A6" s="2" t="s">
        <v>12</v>
      </c>
      <c r="B6">
        <v>257.20578569999998</v>
      </c>
      <c r="C6">
        <v>454.60852920000002</v>
      </c>
      <c r="E6" t="str">
        <f t="shared" si="0"/>
        <v>USA</v>
      </c>
      <c r="F6">
        <f t="shared" si="2"/>
        <v>257.20578569999998</v>
      </c>
      <c r="G6">
        <f t="shared" si="1"/>
        <v>454.60852920000002</v>
      </c>
    </row>
    <row r="7" spans="1:11" x14ac:dyDescent="0.3">
      <c r="A7" s="2" t="s">
        <v>15</v>
      </c>
      <c r="B7">
        <v>447.1377713</v>
      </c>
      <c r="C7">
        <v>833.16049599999997</v>
      </c>
    </row>
    <row r="10" spans="1:11" x14ac:dyDescent="0.3">
      <c r="A10" s="1" t="s">
        <v>1</v>
      </c>
      <c r="B10" s="2">
        <v>2019</v>
      </c>
    </row>
    <row r="12" spans="1:11" x14ac:dyDescent="0.3">
      <c r="A12" s="1" t="s">
        <v>14</v>
      </c>
      <c r="B12" t="s">
        <v>18</v>
      </c>
    </row>
    <row r="13" spans="1:11" x14ac:dyDescent="0.3">
      <c r="A13" s="2" t="s">
        <v>13</v>
      </c>
      <c r="B13">
        <v>20</v>
      </c>
      <c r="E13" t="str">
        <f t="shared" ref="E13:E15" si="3">A13</f>
        <v>Egypt</v>
      </c>
      <c r="F13">
        <f>B13</f>
        <v>20</v>
      </c>
      <c r="G13">
        <f>100-F13</f>
        <v>80</v>
      </c>
    </row>
    <row r="14" spans="1:11" x14ac:dyDescent="0.3">
      <c r="A14" s="2" t="s">
        <v>11</v>
      </c>
      <c r="B14">
        <v>27.881301199999999</v>
      </c>
      <c r="E14" t="str">
        <f t="shared" si="3"/>
        <v>India</v>
      </c>
      <c r="F14">
        <f t="shared" ref="F14:F15" si="4">B14</f>
        <v>27.881301199999999</v>
      </c>
      <c r="G14">
        <f t="shared" ref="G14:G15" si="5">100-F14</f>
        <v>72.118698800000004</v>
      </c>
    </row>
    <row r="15" spans="1:11" x14ac:dyDescent="0.3">
      <c r="A15" s="2" t="s">
        <v>12</v>
      </c>
      <c r="B15">
        <v>20</v>
      </c>
      <c r="E15" t="str">
        <f t="shared" si="3"/>
        <v>USA</v>
      </c>
      <c r="F15">
        <f t="shared" si="4"/>
        <v>20</v>
      </c>
      <c r="G15">
        <f t="shared" si="5"/>
        <v>80</v>
      </c>
    </row>
    <row r="16" spans="1:11" x14ac:dyDescent="0.3">
      <c r="A16" s="2" t="s">
        <v>15</v>
      </c>
      <c r="B16">
        <v>67.881301199999996</v>
      </c>
    </row>
    <row r="19" spans="1:6" x14ac:dyDescent="0.3">
      <c r="A19" s="1" t="s">
        <v>1</v>
      </c>
      <c r="B19" s="2">
        <v>2019</v>
      </c>
    </row>
    <row r="21" spans="1:6" x14ac:dyDescent="0.3">
      <c r="A21" s="1" t="s">
        <v>14</v>
      </c>
      <c r="B21" t="s">
        <v>19</v>
      </c>
    </row>
    <row r="22" spans="1:6" x14ac:dyDescent="0.3">
      <c r="A22" s="2" t="s">
        <v>13</v>
      </c>
      <c r="B22">
        <v>100.37439999999999</v>
      </c>
      <c r="E22" t="str">
        <f t="shared" ref="E22:E24" si="6">A22</f>
        <v>Egypt</v>
      </c>
      <c r="F22">
        <f>B22</f>
        <v>100.37439999999999</v>
      </c>
    </row>
    <row r="23" spans="1:6" x14ac:dyDescent="0.3">
      <c r="A23" s="2" t="s">
        <v>11</v>
      </c>
      <c r="B23">
        <v>54.9633988</v>
      </c>
      <c r="E23" t="str">
        <f t="shared" si="6"/>
        <v>India</v>
      </c>
      <c r="F23">
        <f t="shared" ref="F23:F24" si="7">B23</f>
        <v>54.9633988</v>
      </c>
    </row>
    <row r="24" spans="1:6" x14ac:dyDescent="0.3">
      <c r="A24" s="2" t="s">
        <v>12</v>
      </c>
      <c r="B24">
        <v>193.33679979999999</v>
      </c>
      <c r="E24" t="str">
        <f t="shared" si="6"/>
        <v>USA</v>
      </c>
      <c r="F24">
        <f t="shared" si="7"/>
        <v>193.33679979999999</v>
      </c>
    </row>
    <row r="25" spans="1:6" x14ac:dyDescent="0.3">
      <c r="A25" s="2" t="s">
        <v>15</v>
      </c>
      <c r="B25">
        <v>348.67459859999997</v>
      </c>
    </row>
  </sheetData>
  <pageMargins left="0.7" right="0.7" top="0.75" bottom="0.75" header="0.3" footer="0.3"/>
  <drawing r:id="rId4"/>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A6A185-BCCE-4AA9-B26A-1FA79D6A6D01}">
  <sheetPr codeName="Sheet3"/>
  <dimension ref="A1"/>
  <sheetViews>
    <sheetView topLeftCell="A2" zoomScale="71" workbookViewId="0">
      <selection activeCell="A6" sqref="A6"/>
    </sheetView>
  </sheetViews>
  <sheetFormatPr defaultRowHeight="14.4" x14ac:dyDescent="0.3"/>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1553A3-7490-4052-A664-4576AE24045F}">
  <sheetPr codeName="Sheet2"/>
  <dimension ref="A1:K124"/>
  <sheetViews>
    <sheetView tabSelected="1" workbookViewId="0">
      <selection activeCell="P16" sqref="P16"/>
    </sheetView>
  </sheetViews>
  <sheetFormatPr defaultRowHeight="14.4" x14ac:dyDescent="0.3"/>
  <cols>
    <col min="3" max="6" width="0" hidden="1" customWidth="1"/>
    <col min="7" max="11" width="18.44140625" customWidth="1"/>
  </cols>
  <sheetData>
    <row r="1" spans="1:11" x14ac:dyDescent="0.3">
      <c r="A1" t="s">
        <v>0</v>
      </c>
      <c r="B1" t="s">
        <v>1</v>
      </c>
      <c r="C1" t="s">
        <v>2</v>
      </c>
      <c r="D1" t="s">
        <v>3</v>
      </c>
      <c r="E1" t="s">
        <v>4</v>
      </c>
      <c r="F1" t="s">
        <v>5</v>
      </c>
      <c r="G1" t="s">
        <v>6</v>
      </c>
      <c r="H1" t="s">
        <v>7</v>
      </c>
      <c r="I1" t="s">
        <v>8</v>
      </c>
      <c r="J1" t="s">
        <v>9</v>
      </c>
      <c r="K1" t="s">
        <v>10</v>
      </c>
    </row>
    <row r="2" spans="1:11" x14ac:dyDescent="0.3">
      <c r="A2" t="s">
        <v>11</v>
      </c>
      <c r="B2">
        <v>1979</v>
      </c>
      <c r="C2">
        <v>7.2972999999999999</v>
      </c>
      <c r="D2">
        <v>8.6666989999999995</v>
      </c>
      <c r="E2">
        <v>10.232100000000001</v>
      </c>
      <c r="F2">
        <v>1.5683</v>
      </c>
      <c r="G2">
        <v>27.764399000000001</v>
      </c>
      <c r="H2">
        <v>67.435844919999994</v>
      </c>
      <c r="I2">
        <v>29.559250909999999</v>
      </c>
      <c r="J2">
        <v>5.0175265900000001</v>
      </c>
      <c r="K2">
        <v>18.07179975</v>
      </c>
    </row>
    <row r="3" spans="1:11" x14ac:dyDescent="0.3">
      <c r="A3" t="s">
        <v>11</v>
      </c>
      <c r="B3">
        <v>1980</v>
      </c>
      <c r="C3">
        <v>7.3076996999999997</v>
      </c>
      <c r="D3">
        <v>9.375</v>
      </c>
      <c r="E3">
        <v>9.9613999999999994</v>
      </c>
      <c r="F3">
        <v>1.4355998999999999</v>
      </c>
      <c r="G3">
        <v>28.079699600000001</v>
      </c>
      <c r="H3">
        <v>68.533794409999999</v>
      </c>
      <c r="I3">
        <v>30.70142268</v>
      </c>
      <c r="J3">
        <v>5.0228867939999997</v>
      </c>
      <c r="K3">
        <v>17.887964849999999</v>
      </c>
    </row>
    <row r="4" spans="1:11" x14ac:dyDescent="0.3">
      <c r="A4" t="s">
        <v>11</v>
      </c>
      <c r="B4">
        <v>1981</v>
      </c>
      <c r="C4">
        <v>7.3332996000000001</v>
      </c>
      <c r="D4">
        <v>9.4736999999999991</v>
      </c>
      <c r="E4">
        <v>10.561999</v>
      </c>
      <c r="F4">
        <v>1.6298999999999999</v>
      </c>
      <c r="G4">
        <v>28.9988986</v>
      </c>
      <c r="H4">
        <v>70.497129689999994</v>
      </c>
      <c r="I4">
        <v>31.526624290000001</v>
      </c>
      <c r="J4">
        <v>5.2281239790000003</v>
      </c>
      <c r="K4">
        <v>18.028698439999999</v>
      </c>
    </row>
    <row r="5" spans="1:11" x14ac:dyDescent="0.3">
      <c r="A5" t="s">
        <v>11</v>
      </c>
      <c r="B5">
        <v>1982</v>
      </c>
      <c r="C5">
        <v>7.7</v>
      </c>
      <c r="D5">
        <v>9.7221989999999998</v>
      </c>
      <c r="E5">
        <v>10.3303995</v>
      </c>
      <c r="F5">
        <v>1.6912999</v>
      </c>
      <c r="G5">
        <v>29.443898399999998</v>
      </c>
      <c r="H5">
        <v>72.825924349999994</v>
      </c>
      <c r="I5">
        <v>32.220936500000001</v>
      </c>
      <c r="J5">
        <v>5.2313550649999998</v>
      </c>
      <c r="K5">
        <v>17.767195749999999</v>
      </c>
    </row>
    <row r="6" spans="1:11" x14ac:dyDescent="0.3">
      <c r="A6" t="s">
        <v>11</v>
      </c>
      <c r="B6">
        <v>1983</v>
      </c>
      <c r="C6">
        <v>7.7072997000000001</v>
      </c>
      <c r="D6">
        <v>10</v>
      </c>
      <c r="E6">
        <v>9.9818999999999996</v>
      </c>
      <c r="F6">
        <v>1.8158000000000001</v>
      </c>
      <c r="G6">
        <v>29.504999699999999</v>
      </c>
      <c r="H6">
        <v>74.281738140000002</v>
      </c>
      <c r="I6">
        <v>32.826624840000001</v>
      </c>
      <c r="J6">
        <v>5.1698259389999999</v>
      </c>
      <c r="K6">
        <v>17.521864059999999</v>
      </c>
    </row>
    <row r="7" spans="1:11" x14ac:dyDescent="0.3">
      <c r="A7" t="s">
        <v>11</v>
      </c>
      <c r="B7">
        <v>1984</v>
      </c>
      <c r="C7">
        <v>8.2142999999999997</v>
      </c>
      <c r="D7">
        <v>9.1303999999999998</v>
      </c>
      <c r="E7">
        <v>11.139099999999999</v>
      </c>
      <c r="F7">
        <v>1.8431999999999999</v>
      </c>
      <c r="G7">
        <v>30.327000000000002</v>
      </c>
      <c r="H7">
        <v>74.38625193</v>
      </c>
      <c r="I7">
        <v>31.899488999999999</v>
      </c>
      <c r="J7">
        <v>5.4569575700000001</v>
      </c>
      <c r="K7">
        <v>17.993726939999998</v>
      </c>
    </row>
    <row r="8" spans="1:11" x14ac:dyDescent="0.3">
      <c r="A8" t="s">
        <v>11</v>
      </c>
      <c r="B8">
        <v>1985</v>
      </c>
      <c r="C8">
        <v>8.1818000000000008</v>
      </c>
      <c r="D8">
        <v>8.8461999999999996</v>
      </c>
      <c r="E8">
        <v>10.2021</v>
      </c>
      <c r="F8">
        <v>1.8700999</v>
      </c>
      <c r="G8">
        <v>29.1001999</v>
      </c>
      <c r="H8">
        <v>73.109016690000004</v>
      </c>
      <c r="I8">
        <v>30.862018840000001</v>
      </c>
      <c r="J8">
        <v>5.1369313649999997</v>
      </c>
      <c r="K8">
        <v>17.652563839999999</v>
      </c>
    </row>
    <row r="9" spans="1:11" x14ac:dyDescent="0.3">
      <c r="A9" t="s">
        <v>11</v>
      </c>
      <c r="B9">
        <v>1986</v>
      </c>
      <c r="C9">
        <v>8.4</v>
      </c>
      <c r="D9">
        <v>9.1199999999999992</v>
      </c>
      <c r="E9">
        <v>9.6589989999999997</v>
      </c>
      <c r="F9">
        <v>2.0459999999999998</v>
      </c>
      <c r="G9">
        <v>29.224999</v>
      </c>
      <c r="H9">
        <v>75.546840860000003</v>
      </c>
      <c r="I9">
        <v>31.554519500000001</v>
      </c>
      <c r="J9">
        <v>5.0405366999999996</v>
      </c>
      <c r="K9">
        <v>17.247346010000001</v>
      </c>
    </row>
    <row r="10" spans="1:11" x14ac:dyDescent="0.3">
      <c r="A10" t="s">
        <v>11</v>
      </c>
      <c r="B10">
        <v>1987</v>
      </c>
      <c r="C10">
        <v>8.4783000000000008</v>
      </c>
      <c r="D10">
        <v>8.1267999999999994</v>
      </c>
      <c r="E10">
        <v>9.8566000000000003</v>
      </c>
      <c r="F10">
        <v>1.9161999000000001</v>
      </c>
      <c r="G10">
        <v>28.377899899999999</v>
      </c>
      <c r="H10">
        <v>72.199471860000003</v>
      </c>
      <c r="I10">
        <v>29.41524484</v>
      </c>
      <c r="J10">
        <v>4.9722546650000004</v>
      </c>
      <c r="K10">
        <v>17.52157377</v>
      </c>
    </row>
    <row r="11" spans="1:11" x14ac:dyDescent="0.3">
      <c r="A11" t="s">
        <v>11</v>
      </c>
      <c r="B11">
        <v>1988</v>
      </c>
      <c r="C11">
        <v>8.8084989999999994</v>
      </c>
      <c r="D11">
        <v>13.162100000000001</v>
      </c>
      <c r="E11">
        <v>10.619598999999999</v>
      </c>
      <c r="F11">
        <v>2.0019</v>
      </c>
      <c r="G11">
        <v>34.592098</v>
      </c>
      <c r="H11">
        <v>89.050610509999998</v>
      </c>
      <c r="I11">
        <v>40.63007597</v>
      </c>
      <c r="J11">
        <v>5.8936327979999996</v>
      </c>
      <c r="K11">
        <v>17.037511859999999</v>
      </c>
    </row>
    <row r="12" spans="1:11" x14ac:dyDescent="0.3">
      <c r="A12" t="s">
        <v>11</v>
      </c>
      <c r="B12">
        <v>1989</v>
      </c>
      <c r="C12">
        <v>8.7923989999999996</v>
      </c>
      <c r="D12">
        <v>13.356</v>
      </c>
      <c r="E12">
        <v>10.176299999999999</v>
      </c>
      <c r="F12">
        <v>2.2444000000000002</v>
      </c>
      <c r="G12">
        <v>34.569099000000001</v>
      </c>
      <c r="H12">
        <v>90.890366069999999</v>
      </c>
      <c r="I12">
        <v>41.18586947</v>
      </c>
      <c r="J12">
        <v>5.7962132579999999</v>
      </c>
      <c r="K12">
        <v>16.76703595</v>
      </c>
    </row>
    <row r="13" spans="1:11" x14ac:dyDescent="0.3">
      <c r="A13" t="s">
        <v>11</v>
      </c>
      <c r="B13">
        <v>1990</v>
      </c>
      <c r="C13">
        <v>8.8421000000000003</v>
      </c>
      <c r="D13">
        <v>15.858700000000001</v>
      </c>
      <c r="E13">
        <v>10.686299</v>
      </c>
      <c r="F13">
        <v>2.1211000000000002</v>
      </c>
      <c r="G13">
        <v>37.508198999999998</v>
      </c>
      <c r="H13">
        <v>97.846072460000002</v>
      </c>
      <c r="I13">
        <v>46.504272499999999</v>
      </c>
      <c r="J13">
        <v>6.2735251400000003</v>
      </c>
      <c r="K13">
        <v>16.72574346</v>
      </c>
    </row>
    <row r="14" spans="1:11" x14ac:dyDescent="0.3">
      <c r="A14" t="s">
        <v>11</v>
      </c>
      <c r="B14">
        <v>1991</v>
      </c>
      <c r="C14">
        <v>8.8292000000000002</v>
      </c>
      <c r="D14">
        <v>14.682499999999999</v>
      </c>
      <c r="E14">
        <v>11.0878</v>
      </c>
      <c r="F14">
        <v>2.2814000000000001</v>
      </c>
      <c r="G14">
        <v>36.880899999999997</v>
      </c>
      <c r="H14">
        <v>95.623624390000003</v>
      </c>
      <c r="I14">
        <v>44.491599000000001</v>
      </c>
      <c r="J14">
        <v>6.24768978</v>
      </c>
      <c r="K14">
        <v>16.94017711</v>
      </c>
    </row>
    <row r="15" spans="1:11" x14ac:dyDescent="0.3">
      <c r="A15" t="s">
        <v>11</v>
      </c>
      <c r="B15">
        <v>1992</v>
      </c>
      <c r="C15">
        <v>8.9582999999999995</v>
      </c>
      <c r="D15">
        <v>15.712</v>
      </c>
      <c r="E15">
        <v>10.7883</v>
      </c>
      <c r="F15">
        <v>2.3940000000000001</v>
      </c>
      <c r="G15">
        <v>37.852600000000002</v>
      </c>
      <c r="H15">
        <v>99.663246970000003</v>
      </c>
      <c r="I15">
        <v>46.738709</v>
      </c>
      <c r="J15">
        <v>6.3104037699999997</v>
      </c>
      <c r="K15">
        <v>16.670991610000002</v>
      </c>
    </row>
    <row r="16" spans="1:11" x14ac:dyDescent="0.3">
      <c r="A16" t="s">
        <v>11</v>
      </c>
      <c r="B16">
        <v>1993</v>
      </c>
      <c r="C16">
        <v>9.0061999999999998</v>
      </c>
      <c r="D16">
        <v>16.129000000000001</v>
      </c>
      <c r="E16">
        <v>10.9116</v>
      </c>
      <c r="F16">
        <v>2.3267000000000002</v>
      </c>
      <c r="G16">
        <v>38.3735</v>
      </c>
      <c r="H16">
        <v>100.68365970000001</v>
      </c>
      <c r="I16">
        <v>47.591614999999997</v>
      </c>
      <c r="J16">
        <v>6.4031534299999997</v>
      </c>
      <c r="K16">
        <v>16.686394069999999</v>
      </c>
    </row>
    <row r="17" spans="1:11" x14ac:dyDescent="0.3">
      <c r="A17" t="s">
        <v>11</v>
      </c>
      <c r="B17">
        <v>1994</v>
      </c>
      <c r="C17">
        <v>8.9795999999999996</v>
      </c>
      <c r="D17">
        <v>14.085699999999999</v>
      </c>
      <c r="E17">
        <v>10.670899</v>
      </c>
      <c r="F17">
        <v>2.3795999999999999</v>
      </c>
      <c r="G17">
        <v>36.115799000000003</v>
      </c>
      <c r="H17">
        <v>94.840577670000002</v>
      </c>
      <c r="I17">
        <v>43.2697225</v>
      </c>
      <c r="J17">
        <v>6.3652915219999997</v>
      </c>
      <c r="K17">
        <v>17.624673130000001</v>
      </c>
    </row>
    <row r="18" spans="1:11" x14ac:dyDescent="0.3">
      <c r="A18" t="s">
        <v>11</v>
      </c>
      <c r="B18">
        <v>1995</v>
      </c>
      <c r="C18">
        <v>9.0999990000000004</v>
      </c>
      <c r="D18">
        <v>15.028600000000001</v>
      </c>
      <c r="E18">
        <v>10.608399</v>
      </c>
      <c r="F18">
        <v>2.5590000000000002</v>
      </c>
      <c r="G18">
        <v>37.295997999999997</v>
      </c>
      <c r="H18">
        <v>99.156547689999996</v>
      </c>
      <c r="I18">
        <v>45.554602969999998</v>
      </c>
      <c r="J18">
        <v>6.8538146610000004</v>
      </c>
      <c r="K18">
        <v>18.376809919999999</v>
      </c>
    </row>
    <row r="19" spans="1:11" x14ac:dyDescent="0.3">
      <c r="A19" t="s">
        <v>11</v>
      </c>
      <c r="B19">
        <v>1996</v>
      </c>
      <c r="C19">
        <v>9.0385000000000009</v>
      </c>
      <c r="D19">
        <v>16.0046</v>
      </c>
      <c r="E19">
        <v>10.346499</v>
      </c>
      <c r="F19">
        <v>2.4828000000000001</v>
      </c>
      <c r="G19">
        <v>37.872399000000001</v>
      </c>
      <c r="H19">
        <v>101.1452132</v>
      </c>
      <c r="I19">
        <v>47.3112645</v>
      </c>
      <c r="J19">
        <v>7.331327795</v>
      </c>
      <c r="K19">
        <v>19.357970420000001</v>
      </c>
    </row>
    <row r="20" spans="1:11" x14ac:dyDescent="0.3">
      <c r="A20" t="s">
        <v>11</v>
      </c>
      <c r="B20">
        <v>1997</v>
      </c>
      <c r="C20">
        <v>9.0565999999999995</v>
      </c>
      <c r="D20">
        <v>17.5</v>
      </c>
      <c r="E20">
        <v>9.0140999999999991</v>
      </c>
      <c r="F20">
        <v>2.6789000000000001</v>
      </c>
      <c r="G20">
        <v>38.249600000000001</v>
      </c>
      <c r="H20">
        <v>106.1256346</v>
      </c>
      <c r="I20">
        <v>50.087921000000001</v>
      </c>
      <c r="J20">
        <v>7.7805237570000001</v>
      </c>
      <c r="K20">
        <v>20.341451299999999</v>
      </c>
    </row>
    <row r="21" spans="1:11" x14ac:dyDescent="0.3">
      <c r="A21" t="s">
        <v>11</v>
      </c>
      <c r="B21">
        <v>1998</v>
      </c>
      <c r="C21">
        <v>9.0740999999999996</v>
      </c>
      <c r="D21">
        <v>15.073199000000001</v>
      </c>
      <c r="E21">
        <v>11.390499999999999</v>
      </c>
      <c r="F21">
        <v>2.4851999999999999</v>
      </c>
      <c r="G21">
        <v>38.022998999999999</v>
      </c>
      <c r="H21">
        <v>99.135649950000001</v>
      </c>
      <c r="I21">
        <v>45.909272909999999</v>
      </c>
      <c r="J21">
        <v>8.0320023959999993</v>
      </c>
      <c r="K21">
        <v>21.12406335</v>
      </c>
    </row>
    <row r="22" spans="1:11" x14ac:dyDescent="0.3">
      <c r="A22" t="s">
        <v>11</v>
      </c>
      <c r="B22">
        <v>1999</v>
      </c>
      <c r="C22">
        <v>9.0443999999999996</v>
      </c>
      <c r="D22">
        <v>17.595700000000001</v>
      </c>
      <c r="E22">
        <v>9.9320989999999991</v>
      </c>
      <c r="F22">
        <v>2.5901000000000001</v>
      </c>
      <c r="G22">
        <v>39.162298999999997</v>
      </c>
      <c r="H22">
        <v>106.2794956</v>
      </c>
      <c r="I22">
        <v>50.601051499999997</v>
      </c>
      <c r="J22">
        <v>8.8717732999999992</v>
      </c>
      <c r="K22">
        <v>22.653862329999999</v>
      </c>
    </row>
    <row r="23" spans="1:11" x14ac:dyDescent="0.3">
      <c r="A23" t="s">
        <v>11</v>
      </c>
      <c r="B23">
        <v>2000</v>
      </c>
      <c r="C23">
        <v>9.0908990000000003</v>
      </c>
      <c r="D23">
        <v>16.152199</v>
      </c>
      <c r="E23">
        <v>10.491300000000001</v>
      </c>
      <c r="F23">
        <v>2.7784998000000001</v>
      </c>
      <c r="G23">
        <v>38.512897799999998</v>
      </c>
      <c r="H23">
        <v>103.7600114</v>
      </c>
      <c r="I23">
        <v>48.184167070000001</v>
      </c>
      <c r="J23">
        <v>8.3753187219999994</v>
      </c>
      <c r="K23">
        <v>21.74678926</v>
      </c>
    </row>
    <row r="24" spans="1:11" x14ac:dyDescent="0.3">
      <c r="A24" t="s">
        <v>11</v>
      </c>
      <c r="B24">
        <v>2001</v>
      </c>
      <c r="C24">
        <v>9.0212990000000008</v>
      </c>
      <c r="D24">
        <v>15.7390995</v>
      </c>
      <c r="E24">
        <v>10.5932</v>
      </c>
      <c r="F24">
        <v>2.7080997999999998</v>
      </c>
      <c r="G24">
        <v>38.061698300000003</v>
      </c>
      <c r="H24">
        <v>101.90121619999999</v>
      </c>
      <c r="I24">
        <v>47.22432311</v>
      </c>
      <c r="J24">
        <v>8.0910437450000003</v>
      </c>
      <c r="K24">
        <v>21.257705529999999</v>
      </c>
    </row>
    <row r="25" spans="1:11" x14ac:dyDescent="0.3">
      <c r="A25" t="s">
        <v>11</v>
      </c>
      <c r="B25">
        <v>2002</v>
      </c>
      <c r="C25">
        <v>8.9970999999999997</v>
      </c>
      <c r="D25">
        <v>16.2897</v>
      </c>
      <c r="E25">
        <v>9.9116990000000005</v>
      </c>
      <c r="F25">
        <v>2.7621000000000002</v>
      </c>
      <c r="G25">
        <v>37.960599000000002</v>
      </c>
      <c r="H25">
        <v>103.40219209999999</v>
      </c>
      <c r="I25">
        <v>48.106282499999999</v>
      </c>
      <c r="J25">
        <v>8.3822089250000005</v>
      </c>
      <c r="K25">
        <v>22.081339979999999</v>
      </c>
    </row>
    <row r="26" spans="1:11" x14ac:dyDescent="0.3">
      <c r="A26" t="s">
        <v>11</v>
      </c>
      <c r="B26">
        <v>2003</v>
      </c>
      <c r="C26">
        <v>8.9702999999999999</v>
      </c>
      <c r="D26">
        <v>15.9079</v>
      </c>
      <c r="E26">
        <v>11.317399999999999</v>
      </c>
      <c r="F26">
        <v>2.61</v>
      </c>
      <c r="G26">
        <v>38.805599999999998</v>
      </c>
      <c r="H26">
        <v>101.96283339999999</v>
      </c>
      <c r="I26">
        <v>47.75817</v>
      </c>
      <c r="J26">
        <v>5.9224585699999999</v>
      </c>
      <c r="K26">
        <v>15.261865739999999</v>
      </c>
    </row>
    <row r="27" spans="1:11" x14ac:dyDescent="0.3">
      <c r="A27" t="s">
        <v>11</v>
      </c>
      <c r="B27">
        <v>2004</v>
      </c>
      <c r="C27">
        <v>8.9413999999999998</v>
      </c>
      <c r="D27">
        <v>16.160699999999999</v>
      </c>
      <c r="E27">
        <v>12.643499</v>
      </c>
      <c r="F27">
        <v>2.7131999000000002</v>
      </c>
      <c r="G27">
        <v>40.458798899999998</v>
      </c>
      <c r="H27">
        <v>103.9782606</v>
      </c>
      <c r="I27">
        <v>49.096278339999998</v>
      </c>
      <c r="J27">
        <v>5.9919096730000003</v>
      </c>
      <c r="K27">
        <v>14.809904980000001</v>
      </c>
    </row>
    <row r="28" spans="1:11" x14ac:dyDescent="0.3">
      <c r="A28" t="s">
        <v>11</v>
      </c>
      <c r="B28">
        <v>2005</v>
      </c>
      <c r="C28">
        <v>8.8379989999999999</v>
      </c>
      <c r="D28">
        <v>17.462199999999999</v>
      </c>
      <c r="E28">
        <v>13.406098999999999</v>
      </c>
      <c r="F28">
        <v>2.6015999999999999</v>
      </c>
      <c r="G28">
        <v>42.307898000000002</v>
      </c>
      <c r="H28">
        <v>107.0866414</v>
      </c>
      <c r="I28">
        <v>51.967698970000001</v>
      </c>
      <c r="J28">
        <v>6.8493026060000002</v>
      </c>
      <c r="K28">
        <v>16.189181999999999</v>
      </c>
    </row>
    <row r="29" spans="1:11" x14ac:dyDescent="0.3">
      <c r="A29" t="s">
        <v>11</v>
      </c>
      <c r="B29">
        <v>2006</v>
      </c>
      <c r="C29">
        <v>8.7927999999999997</v>
      </c>
      <c r="D29">
        <v>17.982800000000001</v>
      </c>
      <c r="E29">
        <v>14.123699</v>
      </c>
      <c r="F29">
        <v>2.6187999999999998</v>
      </c>
      <c r="G29">
        <v>43.518098999999999</v>
      </c>
      <c r="H29">
        <v>108.9389901</v>
      </c>
      <c r="I29">
        <v>53.417601500000004</v>
      </c>
      <c r="J29">
        <v>9.2208839129999998</v>
      </c>
      <c r="K29">
        <v>21.18861836</v>
      </c>
    </row>
    <row r="30" spans="1:11" x14ac:dyDescent="0.3">
      <c r="A30" t="s">
        <v>11</v>
      </c>
      <c r="B30">
        <v>2007</v>
      </c>
      <c r="C30">
        <v>8.7480989999999998</v>
      </c>
      <c r="D30">
        <v>16.870799999999999</v>
      </c>
      <c r="E30">
        <v>16.930599999999998</v>
      </c>
      <c r="F30">
        <v>2.7079</v>
      </c>
      <c r="G30">
        <v>45.257398999999999</v>
      </c>
      <c r="H30">
        <v>107.6225512</v>
      </c>
      <c r="I30">
        <v>52.61316747</v>
      </c>
      <c r="J30">
        <v>10.694185060000001</v>
      </c>
      <c r="K30">
        <v>23.629694350000001</v>
      </c>
    </row>
    <row r="31" spans="1:11" x14ac:dyDescent="0.3">
      <c r="A31" t="s">
        <v>11</v>
      </c>
      <c r="B31">
        <v>2008</v>
      </c>
      <c r="C31">
        <v>8.7030999999999992</v>
      </c>
      <c r="D31">
        <v>18.203199999999999</v>
      </c>
      <c r="E31">
        <v>16.265000000000001</v>
      </c>
      <c r="F31">
        <v>2.8021997999999999</v>
      </c>
      <c r="G31">
        <v>45.973499799999999</v>
      </c>
      <c r="H31">
        <v>111.598018</v>
      </c>
      <c r="I31">
        <v>55.189284690000001</v>
      </c>
      <c r="J31">
        <v>11.99461732</v>
      </c>
      <c r="K31">
        <v>26.090285420000001</v>
      </c>
    </row>
    <row r="32" spans="1:11" x14ac:dyDescent="0.3">
      <c r="A32" t="s">
        <v>11</v>
      </c>
      <c r="B32">
        <v>2009</v>
      </c>
      <c r="C32">
        <v>8.6592000000000002</v>
      </c>
      <c r="D32">
        <v>18.609200000000001</v>
      </c>
      <c r="E32">
        <v>16.078800000000001</v>
      </c>
      <c r="F32">
        <v>2.9070999999999998</v>
      </c>
      <c r="G32">
        <v>46.254300000000001</v>
      </c>
      <c r="H32">
        <v>113.2023379</v>
      </c>
      <c r="I32">
        <v>56.086151000000001</v>
      </c>
      <c r="J32">
        <v>7.5219385499999998</v>
      </c>
      <c r="K32">
        <v>16.26213898</v>
      </c>
    </row>
    <row r="33" spans="1:11" x14ac:dyDescent="0.3">
      <c r="A33" t="s">
        <v>11</v>
      </c>
      <c r="B33">
        <v>2010</v>
      </c>
      <c r="C33">
        <v>8.6173000000000002</v>
      </c>
      <c r="D33">
        <v>19.598400000000002</v>
      </c>
      <c r="E33">
        <v>14.208600000000001</v>
      </c>
      <c r="F33">
        <v>2.8395000000000001</v>
      </c>
      <c r="G33">
        <v>45.263800000000003</v>
      </c>
      <c r="H33">
        <v>114.4901321</v>
      </c>
      <c r="I33">
        <v>57.090139999999998</v>
      </c>
      <c r="J33">
        <v>23.22752586</v>
      </c>
      <c r="K33">
        <v>51.315898930000003</v>
      </c>
    </row>
    <row r="34" spans="1:11" x14ac:dyDescent="0.3">
      <c r="A34" t="s">
        <v>11</v>
      </c>
      <c r="B34">
        <v>2011</v>
      </c>
      <c r="C34">
        <v>8.5778999999999996</v>
      </c>
      <c r="D34">
        <v>19.1052</v>
      </c>
      <c r="E34">
        <v>16.106200000000001</v>
      </c>
      <c r="F34">
        <v>2.9885999999999999</v>
      </c>
      <c r="G34">
        <v>46.777900000000002</v>
      </c>
      <c r="H34">
        <v>114.8968366</v>
      </c>
      <c r="I34">
        <v>57.221356999999998</v>
      </c>
      <c r="J34">
        <v>18.07352934</v>
      </c>
      <c r="K34">
        <v>38.63689763</v>
      </c>
    </row>
    <row r="35" spans="1:11" x14ac:dyDescent="0.3">
      <c r="A35" t="s">
        <v>11</v>
      </c>
      <c r="B35">
        <v>2012</v>
      </c>
      <c r="C35">
        <v>8.5</v>
      </c>
      <c r="D35">
        <v>20.5656</v>
      </c>
      <c r="E35">
        <v>15.981899</v>
      </c>
      <c r="F35">
        <v>3.1775000000000002</v>
      </c>
      <c r="G35">
        <v>48.224998999999997</v>
      </c>
      <c r="H35">
        <v>120.0307863</v>
      </c>
      <c r="I35">
        <v>60.466728500000002</v>
      </c>
      <c r="J35">
        <v>13.34448673</v>
      </c>
      <c r="K35">
        <v>27.67130534</v>
      </c>
    </row>
    <row r="36" spans="1:11" x14ac:dyDescent="0.3">
      <c r="A36" t="s">
        <v>11</v>
      </c>
      <c r="B36">
        <v>2013</v>
      </c>
      <c r="C36">
        <v>8.5</v>
      </c>
      <c r="D36">
        <v>20.712499999999999</v>
      </c>
      <c r="E36">
        <v>15.857799999999999</v>
      </c>
      <c r="F36">
        <v>3.1537999999999999</v>
      </c>
      <c r="G36">
        <v>48.2241</v>
      </c>
      <c r="H36">
        <v>120.23883379999999</v>
      </c>
      <c r="I36">
        <v>60.674491000000003</v>
      </c>
      <c r="J36">
        <v>8.4153167750000009</v>
      </c>
      <c r="K36">
        <v>17.450438210000002</v>
      </c>
    </row>
    <row r="37" spans="1:11" x14ac:dyDescent="0.3">
      <c r="A37" t="s">
        <v>11</v>
      </c>
      <c r="B37">
        <v>2014</v>
      </c>
      <c r="C37">
        <v>8.4739000000000004</v>
      </c>
      <c r="D37">
        <v>21.241800000000001</v>
      </c>
      <c r="E37">
        <v>16.120100000000001</v>
      </c>
      <c r="F37">
        <v>3.1457000000000002</v>
      </c>
      <c r="G37">
        <v>48.981499999999997</v>
      </c>
      <c r="H37">
        <v>121.77670519999999</v>
      </c>
      <c r="I37">
        <v>61.885328000000001</v>
      </c>
      <c r="J37">
        <v>9.3376552900000007</v>
      </c>
      <c r="K37">
        <v>19.063636859999999</v>
      </c>
    </row>
    <row r="38" spans="1:11" x14ac:dyDescent="0.3">
      <c r="A38" t="s">
        <v>11</v>
      </c>
      <c r="B38">
        <v>2015</v>
      </c>
      <c r="C38">
        <v>8.4281000000000006</v>
      </c>
      <c r="D38">
        <v>21.362500000000001</v>
      </c>
      <c r="E38">
        <v>16.1355</v>
      </c>
      <c r="F38">
        <v>2.7496</v>
      </c>
      <c r="G38">
        <v>48.675699999999999</v>
      </c>
      <c r="H38">
        <v>119.4040954</v>
      </c>
      <c r="I38">
        <v>61.499139999999997</v>
      </c>
      <c r="J38">
        <v>13.11346268</v>
      </c>
      <c r="K38">
        <v>26.940470659999999</v>
      </c>
    </row>
    <row r="39" spans="1:11" x14ac:dyDescent="0.3">
      <c r="A39" t="s">
        <v>11</v>
      </c>
      <c r="B39">
        <v>2016</v>
      </c>
      <c r="C39">
        <v>8.4664000000000001</v>
      </c>
      <c r="D39">
        <v>24.201599999999999</v>
      </c>
      <c r="E39">
        <v>15.856799000000001</v>
      </c>
      <c r="F39">
        <v>3.0339</v>
      </c>
      <c r="G39">
        <v>51.558698999999997</v>
      </c>
      <c r="H39">
        <v>129.51605620000001</v>
      </c>
      <c r="I39">
        <v>67.760158500000003</v>
      </c>
      <c r="J39">
        <v>14.111726040000001</v>
      </c>
      <c r="K39">
        <v>27.370213580000001</v>
      </c>
    </row>
    <row r="40" spans="1:11" x14ac:dyDescent="0.3">
      <c r="A40" t="s">
        <v>11</v>
      </c>
      <c r="B40">
        <v>2017</v>
      </c>
      <c r="C40">
        <v>8.4543999999999997</v>
      </c>
      <c r="D40">
        <v>25.982399000000001</v>
      </c>
      <c r="E40">
        <v>17.1723</v>
      </c>
      <c r="F40">
        <v>3.1999</v>
      </c>
      <c r="G40">
        <v>54.808999</v>
      </c>
      <c r="H40">
        <v>136.45076990000001</v>
      </c>
      <c r="I40">
        <v>72.394038910000006</v>
      </c>
      <c r="J40">
        <v>15.140136849999999</v>
      </c>
      <c r="K40">
        <v>27.623450760000001</v>
      </c>
    </row>
    <row r="41" spans="1:11" x14ac:dyDescent="0.3">
      <c r="A41" t="s">
        <v>11</v>
      </c>
      <c r="B41">
        <v>2018</v>
      </c>
      <c r="C41">
        <v>8.4247999999999994</v>
      </c>
      <c r="D41">
        <v>25.043098000000001</v>
      </c>
      <c r="E41">
        <v>18.102699999999999</v>
      </c>
      <c r="F41">
        <v>3.3681998000000002</v>
      </c>
      <c r="G41">
        <v>54.938797800000003</v>
      </c>
      <c r="H41">
        <v>135.1953795</v>
      </c>
      <c r="I41">
        <v>71.144642509999997</v>
      </c>
      <c r="J41">
        <v>15.26154897</v>
      </c>
      <c r="K41">
        <v>27.77918262</v>
      </c>
    </row>
    <row r="42" spans="1:11" x14ac:dyDescent="0.3">
      <c r="A42" t="s">
        <v>11</v>
      </c>
      <c r="B42">
        <v>2019</v>
      </c>
      <c r="C42">
        <v>8.3892000000000007</v>
      </c>
      <c r="D42">
        <v>24.336698999999999</v>
      </c>
      <c r="E42">
        <v>18.7041</v>
      </c>
      <c r="F42">
        <v>3.5333998000000002</v>
      </c>
      <c r="G42">
        <v>54.9633988</v>
      </c>
      <c r="H42">
        <v>134.40023249999999</v>
      </c>
      <c r="I42">
        <v>70.209464600000004</v>
      </c>
      <c r="J42">
        <v>15.32451077</v>
      </c>
      <c r="K42">
        <v>27.881301199999999</v>
      </c>
    </row>
    <row r="43" spans="1:11" x14ac:dyDescent="0.3">
      <c r="A43" t="s">
        <v>12</v>
      </c>
      <c r="B43">
        <v>1979</v>
      </c>
      <c r="C43">
        <v>10.639900000000001</v>
      </c>
      <c r="D43">
        <v>43.520297999999997</v>
      </c>
      <c r="E43">
        <v>35.0336</v>
      </c>
      <c r="F43">
        <v>2.2979999000000002</v>
      </c>
      <c r="G43">
        <v>91.491797899999995</v>
      </c>
      <c r="H43">
        <v>199.31117860000001</v>
      </c>
      <c r="I43">
        <v>117.72122969999999</v>
      </c>
      <c r="J43">
        <v>9.6421126929999996</v>
      </c>
      <c r="K43">
        <v>10.51145094</v>
      </c>
    </row>
    <row r="44" spans="1:11" x14ac:dyDescent="0.3">
      <c r="A44" t="s">
        <v>12</v>
      </c>
      <c r="B44">
        <v>1980</v>
      </c>
      <c r="C44">
        <v>11.0954</v>
      </c>
      <c r="D44">
        <v>43.077100000000002</v>
      </c>
      <c r="E44">
        <v>33.262</v>
      </c>
      <c r="F44">
        <v>2.2512998999999998</v>
      </c>
      <c r="G44">
        <v>89.685799900000006</v>
      </c>
      <c r="H44">
        <v>198.41484929999999</v>
      </c>
      <c r="I44">
        <v>116.0772418</v>
      </c>
      <c r="J44">
        <v>9.502507993</v>
      </c>
      <c r="K44">
        <v>10.452255640000001</v>
      </c>
    </row>
    <row r="45" spans="1:11" x14ac:dyDescent="0.3">
      <c r="A45" t="s">
        <v>12</v>
      </c>
      <c r="B45">
        <v>1981</v>
      </c>
      <c r="C45">
        <v>11.717199000000001</v>
      </c>
      <c r="D45">
        <v>41.2898</v>
      </c>
      <c r="E45">
        <v>35.201599999999999</v>
      </c>
      <c r="F45">
        <v>2.3229000000000002</v>
      </c>
      <c r="G45">
        <v>90.531498999999997</v>
      </c>
      <c r="H45">
        <v>196.96716380000001</v>
      </c>
      <c r="I45">
        <v>113.7535505</v>
      </c>
      <c r="J45">
        <v>9.4055449200000005</v>
      </c>
      <c r="K45">
        <v>10.53293231</v>
      </c>
    </row>
    <row r="46" spans="1:11" x14ac:dyDescent="0.3">
      <c r="A46" t="s">
        <v>12</v>
      </c>
      <c r="B46">
        <v>1982</v>
      </c>
      <c r="C46">
        <v>13.1140995</v>
      </c>
      <c r="D46">
        <v>46.6571</v>
      </c>
      <c r="E46">
        <v>37.262799999999999</v>
      </c>
      <c r="F46">
        <v>2.3858999999999999</v>
      </c>
      <c r="G46">
        <v>99.4198995</v>
      </c>
      <c r="H46">
        <v>219.21014099999999</v>
      </c>
      <c r="I46">
        <v>126.84107469999999</v>
      </c>
      <c r="J46">
        <v>10.45047396</v>
      </c>
      <c r="K46">
        <v>10.41253951</v>
      </c>
    </row>
    <row r="47" spans="1:11" x14ac:dyDescent="0.3">
      <c r="A47" t="s">
        <v>12</v>
      </c>
      <c r="B47">
        <v>1983</v>
      </c>
      <c r="C47">
        <v>15.846</v>
      </c>
      <c r="D47">
        <v>45.320796999999999</v>
      </c>
      <c r="E47">
        <v>35.509500000000003</v>
      </c>
      <c r="F47">
        <v>2.6509</v>
      </c>
      <c r="G47">
        <v>99.327196999999998</v>
      </c>
      <c r="H47">
        <v>226.00030509999999</v>
      </c>
      <c r="I47">
        <v>125.03550869999999</v>
      </c>
      <c r="J47">
        <v>10.38193255</v>
      </c>
      <c r="K47">
        <v>10.46895447</v>
      </c>
    </row>
    <row r="48" spans="1:11" x14ac:dyDescent="0.3">
      <c r="A48" t="s">
        <v>12</v>
      </c>
      <c r="B48">
        <v>1984</v>
      </c>
      <c r="C48">
        <v>15.820499</v>
      </c>
      <c r="D48">
        <v>49.169097999999998</v>
      </c>
      <c r="E48">
        <v>37.582299999999996</v>
      </c>
      <c r="F48">
        <v>2.6073</v>
      </c>
      <c r="G48">
        <v>105.179197</v>
      </c>
      <c r="H48">
        <v>237.96597589999999</v>
      </c>
      <c r="I48">
        <v>134.03289029999999</v>
      </c>
      <c r="J48">
        <v>11.078453619999999</v>
      </c>
      <c r="K48">
        <v>10.530693100000001</v>
      </c>
    </row>
    <row r="49" spans="1:11" x14ac:dyDescent="0.3">
      <c r="A49" t="s">
        <v>12</v>
      </c>
      <c r="B49">
        <v>1985</v>
      </c>
      <c r="C49">
        <v>16.144200000000001</v>
      </c>
      <c r="D49">
        <v>49.935997</v>
      </c>
      <c r="E49">
        <v>41.140099999999997</v>
      </c>
      <c r="F49">
        <v>2.5196999999999998</v>
      </c>
      <c r="G49">
        <v>109.739997</v>
      </c>
      <c r="H49">
        <v>242.7261814</v>
      </c>
      <c r="I49">
        <v>137.4486387</v>
      </c>
      <c r="J49">
        <v>11.426720550000001</v>
      </c>
      <c r="K49">
        <v>10.368777440000001</v>
      </c>
    </row>
    <row r="50" spans="1:11" x14ac:dyDescent="0.3">
      <c r="A50" t="s">
        <v>12</v>
      </c>
      <c r="B50">
        <v>1986</v>
      </c>
      <c r="C50">
        <v>17.716799000000002</v>
      </c>
      <c r="D50">
        <v>53.164997</v>
      </c>
      <c r="E50">
        <v>42.317397999999997</v>
      </c>
      <c r="F50">
        <v>2.3167</v>
      </c>
      <c r="G50">
        <v>115.515894</v>
      </c>
      <c r="H50">
        <v>257.1702919</v>
      </c>
      <c r="I50">
        <v>145.3006652</v>
      </c>
      <c r="J50">
        <v>12.093306350000001</v>
      </c>
      <c r="K50">
        <v>10.56417225</v>
      </c>
    </row>
    <row r="51" spans="1:11" x14ac:dyDescent="0.3">
      <c r="A51" t="s">
        <v>12</v>
      </c>
      <c r="B51">
        <v>1987</v>
      </c>
      <c r="C51">
        <v>17.711500000000001</v>
      </c>
      <c r="D51">
        <v>53.459899999999998</v>
      </c>
      <c r="E51">
        <v>40.868600000000001</v>
      </c>
      <c r="F51">
        <v>2.5329999999999999</v>
      </c>
      <c r="G51">
        <v>114.57299999999999</v>
      </c>
      <c r="H51">
        <v>258.63250520000003</v>
      </c>
      <c r="I51">
        <v>145.52939599999999</v>
      </c>
      <c r="J51">
        <v>12.065331</v>
      </c>
      <c r="K51">
        <v>10.491147789999999</v>
      </c>
    </row>
    <row r="52" spans="1:11" x14ac:dyDescent="0.3">
      <c r="A52" t="s">
        <v>12</v>
      </c>
      <c r="B52">
        <v>1988</v>
      </c>
      <c r="C52">
        <v>19.118300000000001</v>
      </c>
      <c r="D52">
        <v>49.752696999999998</v>
      </c>
      <c r="E52">
        <v>40.608600000000003</v>
      </c>
      <c r="F52">
        <v>2.2913000000000001</v>
      </c>
      <c r="G52">
        <v>111.77089700000001</v>
      </c>
      <c r="H52">
        <v>251.2191535</v>
      </c>
      <c r="I52">
        <v>138.0174767</v>
      </c>
      <c r="J52">
        <v>11.58927555</v>
      </c>
      <c r="K52">
        <v>10.566519080000001</v>
      </c>
    </row>
    <row r="53" spans="1:11" x14ac:dyDescent="0.3">
      <c r="A53" t="s">
        <v>12</v>
      </c>
      <c r="B53">
        <v>1989</v>
      </c>
      <c r="C53">
        <v>19.579599999999999</v>
      </c>
      <c r="D53">
        <v>54.720300000000002</v>
      </c>
      <c r="E53">
        <v>40.461799999999997</v>
      </c>
      <c r="F53">
        <v>2.2023999999999999</v>
      </c>
      <c r="G53">
        <v>116.9641</v>
      </c>
      <c r="H53">
        <v>266.7272188</v>
      </c>
      <c r="I53">
        <v>148.43128300000001</v>
      </c>
      <c r="J53">
        <v>12.356289</v>
      </c>
      <c r="K53">
        <v>10.525696050000001</v>
      </c>
    </row>
    <row r="54" spans="1:11" x14ac:dyDescent="0.3">
      <c r="A54" t="s">
        <v>12</v>
      </c>
      <c r="B54">
        <v>1990</v>
      </c>
      <c r="C54">
        <v>19.059999999999999</v>
      </c>
      <c r="D54">
        <v>55.186897000000002</v>
      </c>
      <c r="E54">
        <v>42.767097</v>
      </c>
      <c r="F54">
        <v>2.6566999999999998</v>
      </c>
      <c r="G54">
        <v>119.670694</v>
      </c>
      <c r="H54">
        <v>270.38785489999998</v>
      </c>
      <c r="I54">
        <v>150.99698219999999</v>
      </c>
      <c r="J54">
        <v>12.55482937</v>
      </c>
      <c r="K54">
        <v>10.496068960000001</v>
      </c>
    </row>
    <row r="55" spans="1:11" x14ac:dyDescent="0.3">
      <c r="A55" t="s">
        <v>12</v>
      </c>
      <c r="B55">
        <v>1991</v>
      </c>
      <c r="C55">
        <v>21.157699999999998</v>
      </c>
      <c r="D55">
        <v>57.7943</v>
      </c>
      <c r="E55">
        <v>42.42</v>
      </c>
      <c r="F55">
        <v>2.3037999</v>
      </c>
      <c r="G55">
        <v>123.6757999</v>
      </c>
      <c r="H55">
        <v>283.13231080000003</v>
      </c>
      <c r="I55">
        <v>156.83063379999999</v>
      </c>
      <c r="J55">
        <v>13.068226989999999</v>
      </c>
      <c r="K55">
        <v>10.57269234</v>
      </c>
    </row>
    <row r="56" spans="1:11" x14ac:dyDescent="0.3">
      <c r="A56" t="s">
        <v>12</v>
      </c>
      <c r="B56">
        <v>1992</v>
      </c>
      <c r="C56">
        <v>23.711600000000001</v>
      </c>
      <c r="D56">
        <v>59.249797999999998</v>
      </c>
      <c r="E56">
        <v>43.284798000000002</v>
      </c>
      <c r="F56">
        <v>2.6432997999999999</v>
      </c>
      <c r="G56">
        <v>128.88949579999999</v>
      </c>
      <c r="H56">
        <v>299.3121706</v>
      </c>
      <c r="I56">
        <v>162.19160550000001</v>
      </c>
      <c r="J56">
        <v>13.566516569999999</v>
      </c>
      <c r="K56">
        <v>10.581507950000001</v>
      </c>
    </row>
    <row r="57" spans="1:11" x14ac:dyDescent="0.3">
      <c r="A57" t="s">
        <v>12</v>
      </c>
      <c r="B57">
        <v>1993</v>
      </c>
      <c r="C57">
        <v>25.041698</v>
      </c>
      <c r="D57">
        <v>58.407898000000003</v>
      </c>
      <c r="E57">
        <v>42.609397999999999</v>
      </c>
      <c r="F57">
        <v>2.5699000000000001</v>
      </c>
      <c r="G57">
        <v>128.628894</v>
      </c>
      <c r="H57">
        <v>300.84452440000001</v>
      </c>
      <c r="I57">
        <v>160.6840488</v>
      </c>
      <c r="J57">
        <v>13.50097742</v>
      </c>
      <c r="K57">
        <v>10.61105111</v>
      </c>
    </row>
    <row r="58" spans="1:11" x14ac:dyDescent="0.3">
      <c r="A58" t="s">
        <v>12</v>
      </c>
      <c r="B58">
        <v>1994</v>
      </c>
      <c r="C58">
        <v>26.305698</v>
      </c>
      <c r="D58">
        <v>63.247399999999999</v>
      </c>
      <c r="E58">
        <v>44.461998000000001</v>
      </c>
      <c r="F58">
        <v>2.5270000000000001</v>
      </c>
      <c r="G58">
        <v>136.54209599999999</v>
      </c>
      <c r="H58">
        <v>320.26715350000001</v>
      </c>
      <c r="I58">
        <v>172.3274749</v>
      </c>
      <c r="J58">
        <v>14.43617572</v>
      </c>
      <c r="K58">
        <v>10.50642931</v>
      </c>
    </row>
    <row r="59" spans="1:11" x14ac:dyDescent="0.3">
      <c r="A59" t="s">
        <v>12</v>
      </c>
      <c r="B59">
        <v>1995</v>
      </c>
      <c r="C59">
        <v>23.5458</v>
      </c>
      <c r="D59">
        <v>61.253799999999998</v>
      </c>
      <c r="E59">
        <v>43.925899999999999</v>
      </c>
      <c r="F59">
        <v>2.4064999</v>
      </c>
      <c r="G59">
        <v>131.13199990000001</v>
      </c>
      <c r="H59">
        <v>303.36633949999998</v>
      </c>
      <c r="I59">
        <v>166.24087080000001</v>
      </c>
      <c r="J59">
        <v>13.875742990000001</v>
      </c>
      <c r="K59">
        <v>10.379252259999999</v>
      </c>
    </row>
    <row r="60" spans="1:11" x14ac:dyDescent="0.3">
      <c r="A60" t="s">
        <v>12</v>
      </c>
      <c r="B60">
        <v>1996</v>
      </c>
      <c r="C60">
        <v>27.5474</v>
      </c>
      <c r="D60">
        <v>63.818100000000001</v>
      </c>
      <c r="E60">
        <v>43.235199999999999</v>
      </c>
      <c r="F60">
        <v>2.4388999999999998</v>
      </c>
      <c r="G60">
        <v>137.03960000000001</v>
      </c>
      <c r="H60">
        <v>325.20658179999998</v>
      </c>
      <c r="I60">
        <v>173.426624</v>
      </c>
      <c r="J60">
        <v>14.541342</v>
      </c>
      <c r="K60">
        <v>10.53652862</v>
      </c>
    </row>
    <row r="61" spans="1:11" x14ac:dyDescent="0.3">
      <c r="A61" t="s">
        <v>12</v>
      </c>
      <c r="B61">
        <v>1997</v>
      </c>
      <c r="C61">
        <v>29.841699999999999</v>
      </c>
      <c r="D61">
        <v>65.306899999999999</v>
      </c>
      <c r="E61">
        <v>46.455199999999998</v>
      </c>
      <c r="F61">
        <v>2.6574</v>
      </c>
      <c r="G61">
        <v>144.2612</v>
      </c>
      <c r="H61">
        <v>341.02583980000003</v>
      </c>
      <c r="I61">
        <v>179.70724000000001</v>
      </c>
      <c r="J61">
        <v>15.156701</v>
      </c>
      <c r="K61">
        <v>10.82908327</v>
      </c>
    </row>
    <row r="62" spans="1:11" x14ac:dyDescent="0.3">
      <c r="A62" t="s">
        <v>12</v>
      </c>
      <c r="B62">
        <v>1998</v>
      </c>
      <c r="C62">
        <v>28.781599</v>
      </c>
      <c r="D62">
        <v>58.655597999999998</v>
      </c>
      <c r="E62">
        <v>44.012700000000002</v>
      </c>
      <c r="F62">
        <v>2.9034</v>
      </c>
      <c r="G62">
        <v>134.353297</v>
      </c>
      <c r="H62">
        <v>318.05711220000001</v>
      </c>
      <c r="I62">
        <v>164.4091353</v>
      </c>
      <c r="J62">
        <v>13.94486762</v>
      </c>
      <c r="K62">
        <v>10.63164722</v>
      </c>
    </row>
    <row r="63" spans="1:11" x14ac:dyDescent="0.3">
      <c r="A63" t="s">
        <v>12</v>
      </c>
      <c r="B63">
        <v>1999</v>
      </c>
      <c r="C63">
        <v>30.703797999999999</v>
      </c>
      <c r="D63">
        <v>68.054596000000004</v>
      </c>
      <c r="E63">
        <v>47.551699999999997</v>
      </c>
      <c r="F63">
        <v>2.8725998000000001</v>
      </c>
      <c r="G63">
        <v>149.18269380000001</v>
      </c>
      <c r="H63">
        <v>354.15392659999998</v>
      </c>
      <c r="I63">
        <v>186.7929503</v>
      </c>
      <c r="J63">
        <v>15.718677230000001</v>
      </c>
      <c r="K63">
        <v>10.83419563</v>
      </c>
    </row>
    <row r="64" spans="1:11" x14ac:dyDescent="0.3">
      <c r="A64" t="s">
        <v>12</v>
      </c>
      <c r="B64">
        <v>2000</v>
      </c>
      <c r="C64">
        <v>24.038699999999999</v>
      </c>
      <c r="D64">
        <v>74.905600000000007</v>
      </c>
      <c r="E64">
        <v>48.374600000000001</v>
      </c>
      <c r="F64">
        <v>2.8237998000000002</v>
      </c>
      <c r="G64">
        <v>150.1426998</v>
      </c>
      <c r="H64">
        <v>350.07359969999999</v>
      </c>
      <c r="I64">
        <v>197.91388069999999</v>
      </c>
      <c r="J64">
        <v>16.259077990000002</v>
      </c>
      <c r="K64">
        <v>10.529172190000001</v>
      </c>
    </row>
    <row r="65" spans="1:11" x14ac:dyDescent="0.3">
      <c r="A65" t="s">
        <v>12</v>
      </c>
      <c r="B65">
        <v>2001</v>
      </c>
      <c r="C65">
        <v>24.4742</v>
      </c>
      <c r="D65">
        <v>66.747500000000002</v>
      </c>
      <c r="E65">
        <v>46.928699999999999</v>
      </c>
      <c r="F65">
        <v>2.7017999000000001</v>
      </c>
      <c r="G65">
        <v>140.85219989999999</v>
      </c>
      <c r="H65">
        <v>326.29010849999997</v>
      </c>
      <c r="I65">
        <v>180.17977680000001</v>
      </c>
      <c r="J65">
        <v>14.974908989999999</v>
      </c>
      <c r="K65">
        <v>10.690415639999999</v>
      </c>
    </row>
    <row r="66" spans="1:11" x14ac:dyDescent="0.3">
      <c r="A66" t="s">
        <v>12</v>
      </c>
      <c r="B66">
        <v>2002</v>
      </c>
      <c r="C66">
        <v>25.604800000000001</v>
      </c>
      <c r="D66">
        <v>75.418494999999993</v>
      </c>
      <c r="E66">
        <v>48.110100000000003</v>
      </c>
      <c r="F66">
        <v>2.3567</v>
      </c>
      <c r="G66">
        <v>151.490095</v>
      </c>
      <c r="H66">
        <v>354.08414090000002</v>
      </c>
      <c r="I66">
        <v>198.9502675</v>
      </c>
      <c r="J66">
        <v>16.412733249999999</v>
      </c>
      <c r="K66">
        <v>23.30402922</v>
      </c>
    </row>
    <row r="67" spans="1:11" x14ac:dyDescent="0.3">
      <c r="A67" t="s">
        <v>12</v>
      </c>
      <c r="B67">
        <v>2003</v>
      </c>
      <c r="C67">
        <v>27.831399999999999</v>
      </c>
      <c r="D67">
        <v>68.247399999999999</v>
      </c>
      <c r="E67">
        <v>49.511496999999999</v>
      </c>
      <c r="F67">
        <v>2.9712000000000001</v>
      </c>
      <c r="G67">
        <v>148.561497</v>
      </c>
      <c r="H67">
        <v>345.98595990000001</v>
      </c>
      <c r="I67">
        <v>186.80824050000001</v>
      </c>
      <c r="J67">
        <v>15.642295819999999</v>
      </c>
      <c r="K67">
        <v>19.833534799999999</v>
      </c>
    </row>
    <row r="68" spans="1:11" x14ac:dyDescent="0.3">
      <c r="A68" t="s">
        <v>12</v>
      </c>
      <c r="B68">
        <v>2004</v>
      </c>
      <c r="C68">
        <v>29.107600000000001</v>
      </c>
      <c r="D68">
        <v>80.564994999999996</v>
      </c>
      <c r="E68">
        <v>55.043799999999997</v>
      </c>
      <c r="F68">
        <v>2.9025998</v>
      </c>
      <c r="G68">
        <v>167.6189948</v>
      </c>
      <c r="H68">
        <v>389.07957099999999</v>
      </c>
      <c r="I68">
        <v>215.8868492</v>
      </c>
      <c r="J68">
        <v>17.91916724</v>
      </c>
      <c r="K68">
        <v>10.75120774</v>
      </c>
    </row>
    <row r="69" spans="1:11" x14ac:dyDescent="0.3">
      <c r="A69" t="s">
        <v>12</v>
      </c>
      <c r="B69">
        <v>2005</v>
      </c>
      <c r="C69">
        <v>26.478999999999999</v>
      </c>
      <c r="D69">
        <v>72.548500000000004</v>
      </c>
      <c r="E69">
        <v>49.866397999999997</v>
      </c>
      <c r="F69">
        <v>2.8230998999999999</v>
      </c>
      <c r="G69">
        <v>151.7169979</v>
      </c>
      <c r="H69">
        <v>352.854174</v>
      </c>
      <c r="I69">
        <v>195.02570080000001</v>
      </c>
      <c r="J69">
        <v>35.35617353</v>
      </c>
      <c r="K69">
        <v>26.02303156</v>
      </c>
    </row>
    <row r="70" spans="1:11" x14ac:dyDescent="0.3">
      <c r="A70" t="s">
        <v>12</v>
      </c>
      <c r="B70">
        <v>2006</v>
      </c>
      <c r="C70">
        <v>30.340699999999998</v>
      </c>
      <c r="D70">
        <v>72.182495000000003</v>
      </c>
      <c r="E70">
        <v>49.270499999999998</v>
      </c>
      <c r="F70">
        <v>2.5985999999999998</v>
      </c>
      <c r="G70">
        <v>154.39229499999999</v>
      </c>
      <c r="H70">
        <v>364.026205</v>
      </c>
      <c r="I70">
        <v>195.6570376</v>
      </c>
      <c r="J70">
        <v>30.621449550000001</v>
      </c>
      <c r="K70">
        <v>10.80928961</v>
      </c>
    </row>
    <row r="71" spans="1:11" x14ac:dyDescent="0.3">
      <c r="A71" t="s">
        <v>12</v>
      </c>
      <c r="B71">
        <v>2007</v>
      </c>
      <c r="C71">
        <v>28.379000000000001</v>
      </c>
      <c r="D71">
        <v>83.120500000000007</v>
      </c>
      <c r="E71">
        <v>55.762599999999999</v>
      </c>
      <c r="F71">
        <v>2.7045998999999998</v>
      </c>
      <c r="G71">
        <v>169.96669990000001</v>
      </c>
      <c r="H71">
        <v>392.99301079999998</v>
      </c>
      <c r="I71">
        <v>220.8902368</v>
      </c>
      <c r="J71">
        <v>18.273472989999998</v>
      </c>
      <c r="K71">
        <v>10.847515680000001</v>
      </c>
    </row>
    <row r="72" spans="1:11" x14ac:dyDescent="0.3">
      <c r="A72" t="s">
        <v>12</v>
      </c>
      <c r="B72">
        <v>2008</v>
      </c>
      <c r="C72">
        <v>29.6524</v>
      </c>
      <c r="D72">
        <v>84.603399999999993</v>
      </c>
      <c r="E72">
        <v>54.851399999999998</v>
      </c>
      <c r="F72">
        <v>3.0175000000000001</v>
      </c>
      <c r="G72">
        <v>172.12469999999999</v>
      </c>
      <c r="H72">
        <v>403.47655609999998</v>
      </c>
      <c r="I72">
        <v>224.700053</v>
      </c>
      <c r="J72">
        <v>44.792065000000001</v>
      </c>
      <c r="K72">
        <v>10.878562860000001</v>
      </c>
    </row>
    <row r="73" spans="1:11" x14ac:dyDescent="0.3">
      <c r="A73" t="s">
        <v>12</v>
      </c>
      <c r="B73">
        <v>2009</v>
      </c>
      <c r="C73">
        <v>30.780498999999999</v>
      </c>
      <c r="D73">
        <v>87.726900000000001</v>
      </c>
      <c r="E73">
        <v>56.095199999999998</v>
      </c>
      <c r="F73">
        <v>2.9896997999999999</v>
      </c>
      <c r="G73">
        <v>177.59229880000001</v>
      </c>
      <c r="H73">
        <v>417.17084369999998</v>
      </c>
      <c r="I73">
        <v>232.40431419999999</v>
      </c>
      <c r="J73">
        <v>19.196465910000001</v>
      </c>
      <c r="K73">
        <v>10.957055889999999</v>
      </c>
    </row>
    <row r="74" spans="1:11" x14ac:dyDescent="0.3">
      <c r="A74" t="s">
        <v>12</v>
      </c>
      <c r="B74">
        <v>2010</v>
      </c>
      <c r="C74">
        <v>30.828399999999998</v>
      </c>
      <c r="D74">
        <v>88.539599999999993</v>
      </c>
      <c r="E74">
        <v>55.261997000000001</v>
      </c>
      <c r="F74">
        <v>3.1166999999999998</v>
      </c>
      <c r="G74">
        <v>177.74669700000001</v>
      </c>
      <c r="H74">
        <v>420.089291</v>
      </c>
      <c r="I74">
        <v>233.9110335</v>
      </c>
      <c r="J74">
        <v>19.281100819999999</v>
      </c>
      <c r="K74">
        <v>10.895894240000001</v>
      </c>
    </row>
    <row r="75" spans="1:11" x14ac:dyDescent="0.3">
      <c r="A75" t="s">
        <v>12</v>
      </c>
      <c r="B75">
        <v>2011</v>
      </c>
      <c r="C75">
        <v>33.058799999999998</v>
      </c>
      <c r="D75">
        <v>92.453500000000005</v>
      </c>
      <c r="E75">
        <v>56.26</v>
      </c>
      <c r="F75">
        <v>2.9422000000000001</v>
      </c>
      <c r="G75">
        <v>184.71449999999999</v>
      </c>
      <c r="H75">
        <v>439.00651829999998</v>
      </c>
      <c r="I75">
        <v>243.498233</v>
      </c>
      <c r="J75">
        <v>20.094283000000001</v>
      </c>
      <c r="K75">
        <v>10.94656048</v>
      </c>
    </row>
    <row r="76" spans="1:11" x14ac:dyDescent="0.3">
      <c r="A76" t="s">
        <v>12</v>
      </c>
      <c r="B76">
        <v>2012</v>
      </c>
      <c r="C76">
        <v>34.0184</v>
      </c>
      <c r="D76">
        <v>94.8245</v>
      </c>
      <c r="E76">
        <v>54.558197</v>
      </c>
      <c r="F76">
        <v>3.1153998000000001</v>
      </c>
      <c r="G76">
        <v>186.5164968</v>
      </c>
      <c r="H76">
        <v>449.61043389999998</v>
      </c>
      <c r="I76">
        <v>248.38323320000001</v>
      </c>
      <c r="J76">
        <v>20.43671681</v>
      </c>
      <c r="K76">
        <v>10.607834069999999</v>
      </c>
    </row>
    <row r="77" spans="1:11" x14ac:dyDescent="0.3">
      <c r="A77" t="s">
        <v>12</v>
      </c>
      <c r="B77">
        <v>2013</v>
      </c>
      <c r="C77">
        <v>32.251300000000001</v>
      </c>
      <c r="D77">
        <v>90.732795999999993</v>
      </c>
      <c r="E77">
        <v>54.462200000000003</v>
      </c>
      <c r="F77">
        <v>3.1673</v>
      </c>
      <c r="G77">
        <v>180.613596</v>
      </c>
      <c r="H77">
        <v>431.54743409999998</v>
      </c>
      <c r="I77">
        <v>238.9284936</v>
      </c>
      <c r="J77">
        <v>19.679466399999999</v>
      </c>
      <c r="K77">
        <v>10.64240841</v>
      </c>
    </row>
    <row r="78" spans="1:11" x14ac:dyDescent="0.3">
      <c r="A78" t="s">
        <v>12</v>
      </c>
      <c r="B78">
        <v>2014</v>
      </c>
      <c r="C78">
        <v>35.806199999999997</v>
      </c>
      <c r="D78">
        <v>97.1661</v>
      </c>
      <c r="E78">
        <v>55.949497000000001</v>
      </c>
      <c r="F78">
        <v>2.9378000000000002</v>
      </c>
      <c r="G78">
        <v>191.85959700000001</v>
      </c>
      <c r="H78">
        <v>462.52714859999998</v>
      </c>
      <c r="I78">
        <v>254.64152949999999</v>
      </c>
      <c r="J78">
        <v>21.002026820000001</v>
      </c>
      <c r="K78">
        <v>10.65181306</v>
      </c>
    </row>
    <row r="79" spans="1:11" x14ac:dyDescent="0.3">
      <c r="A79" t="s">
        <v>12</v>
      </c>
      <c r="B79">
        <v>2015</v>
      </c>
      <c r="C79">
        <v>35.084899999999998</v>
      </c>
      <c r="D79">
        <v>89.461494000000002</v>
      </c>
      <c r="E79">
        <v>63.123699999999999</v>
      </c>
      <c r="F79">
        <v>2.9298999999999999</v>
      </c>
      <c r="G79">
        <v>190.59999400000001</v>
      </c>
      <c r="H79">
        <v>441.25014390000001</v>
      </c>
      <c r="I79">
        <v>241.7313125</v>
      </c>
      <c r="J79">
        <v>20.2185311</v>
      </c>
      <c r="K79">
        <v>18.034275770000001</v>
      </c>
    </row>
    <row r="80" spans="1:11" x14ac:dyDescent="0.3">
      <c r="A80" t="s">
        <v>12</v>
      </c>
      <c r="B80">
        <v>2016</v>
      </c>
      <c r="C80">
        <v>33.849699999999999</v>
      </c>
      <c r="D80">
        <v>91.139799999999994</v>
      </c>
      <c r="E80">
        <v>63.503300000000003</v>
      </c>
      <c r="F80">
        <v>3.5407999000000001</v>
      </c>
      <c r="G80">
        <v>192.03359990000001</v>
      </c>
      <c r="H80">
        <v>445.8254316</v>
      </c>
      <c r="I80">
        <v>245.73322880000001</v>
      </c>
      <c r="J80">
        <v>20.43699999</v>
      </c>
      <c r="K80">
        <v>10.905364110000001</v>
      </c>
    </row>
    <row r="81" spans="1:11" x14ac:dyDescent="0.3">
      <c r="A81" t="s">
        <v>12</v>
      </c>
      <c r="B81">
        <v>2017</v>
      </c>
      <c r="C81">
        <v>34.137397999999997</v>
      </c>
      <c r="D81">
        <v>88.647994999999995</v>
      </c>
      <c r="E81">
        <v>60.954197000000001</v>
      </c>
      <c r="F81">
        <v>3.1174998</v>
      </c>
      <c r="G81">
        <v>186.85708980000001</v>
      </c>
      <c r="H81">
        <v>435.48579480000001</v>
      </c>
      <c r="I81">
        <v>238.7387037</v>
      </c>
      <c r="J81">
        <v>19.903667899999999</v>
      </c>
      <c r="K81">
        <v>20</v>
      </c>
    </row>
    <row r="82" spans="1:11" x14ac:dyDescent="0.3">
      <c r="A82" t="s">
        <v>12</v>
      </c>
      <c r="B82">
        <v>2018</v>
      </c>
      <c r="C82">
        <v>32.356400000000001</v>
      </c>
      <c r="D82">
        <v>96.822699999999998</v>
      </c>
      <c r="E82">
        <v>62.334797000000002</v>
      </c>
      <c r="F82">
        <v>3.2004999999999999</v>
      </c>
      <c r="G82">
        <v>194.71439699999999</v>
      </c>
      <c r="H82">
        <v>454.14661330000001</v>
      </c>
      <c r="I82">
        <v>255.70051849999999</v>
      </c>
      <c r="J82">
        <v>35.115331320000003</v>
      </c>
      <c r="K82">
        <v>20</v>
      </c>
    </row>
    <row r="83" spans="1:11" x14ac:dyDescent="0.3">
      <c r="A83" t="s">
        <v>12</v>
      </c>
      <c r="B83">
        <v>2019</v>
      </c>
      <c r="C83">
        <v>31.2836</v>
      </c>
      <c r="D83">
        <v>98.038399999999996</v>
      </c>
      <c r="E83">
        <v>60.540199999999999</v>
      </c>
      <c r="F83">
        <v>3.4745998</v>
      </c>
      <c r="G83">
        <v>193.33679979999999</v>
      </c>
      <c r="H83">
        <v>454.60852920000002</v>
      </c>
      <c r="I83">
        <v>257.20578569999998</v>
      </c>
      <c r="J83">
        <v>21.084081990000001</v>
      </c>
      <c r="K83">
        <v>20</v>
      </c>
    </row>
    <row r="84" spans="1:11" x14ac:dyDescent="0.3">
      <c r="A84" t="s">
        <v>13</v>
      </c>
      <c r="B84">
        <v>1979</v>
      </c>
      <c r="C84">
        <v>16.4848</v>
      </c>
      <c r="D84">
        <v>17.540099999999999</v>
      </c>
      <c r="E84">
        <v>32.743600000000001</v>
      </c>
      <c r="F84">
        <v>3.1606000000000001</v>
      </c>
      <c r="G84">
        <v>69.929100000000005</v>
      </c>
      <c r="H84">
        <v>149.1038853</v>
      </c>
      <c r="I84">
        <v>66.729695000000007</v>
      </c>
      <c r="J84">
        <v>13.98582</v>
      </c>
      <c r="K84">
        <v>25.70158275</v>
      </c>
    </row>
    <row r="85" spans="1:11" x14ac:dyDescent="0.3">
      <c r="A85" t="s">
        <v>13</v>
      </c>
      <c r="B85">
        <v>1980</v>
      </c>
      <c r="C85">
        <v>16.221599999999999</v>
      </c>
      <c r="D85">
        <v>17.712900000000001</v>
      </c>
      <c r="E85">
        <v>33.117199999999997</v>
      </c>
      <c r="F85">
        <v>3.1174998</v>
      </c>
      <c r="G85">
        <v>70.169199800000001</v>
      </c>
      <c r="H85">
        <v>148.5745909</v>
      </c>
      <c r="I85">
        <v>67.070483690000003</v>
      </c>
      <c r="J85">
        <v>14.03383996</v>
      </c>
      <c r="K85">
        <v>26.394226969999998</v>
      </c>
    </row>
    <row r="86" spans="1:11" x14ac:dyDescent="0.3">
      <c r="A86" t="s">
        <v>13</v>
      </c>
      <c r="B86">
        <v>1981</v>
      </c>
      <c r="C86">
        <v>16.506899000000001</v>
      </c>
      <c r="D86">
        <v>17.9893</v>
      </c>
      <c r="E86">
        <v>38.232199999999999</v>
      </c>
      <c r="F86">
        <v>3.2974000000000001</v>
      </c>
      <c r="G86">
        <v>76.025799000000006</v>
      </c>
      <c r="H86">
        <v>154.33689480000001</v>
      </c>
      <c r="I86">
        <v>70.639311469999996</v>
      </c>
      <c r="J86">
        <v>15.205159800000001</v>
      </c>
      <c r="K86">
        <v>26.527731540000001</v>
      </c>
    </row>
    <row r="87" spans="1:11" x14ac:dyDescent="0.3">
      <c r="A87" t="s">
        <v>13</v>
      </c>
      <c r="B87">
        <v>1982</v>
      </c>
      <c r="C87">
        <v>15.596</v>
      </c>
      <c r="D87">
        <v>19.662299999999998</v>
      </c>
      <c r="E87">
        <v>39.468000000000004</v>
      </c>
      <c r="F87">
        <v>3.4961997999999999</v>
      </c>
      <c r="G87">
        <v>78.222499799999994</v>
      </c>
      <c r="H87">
        <v>157.86443270000001</v>
      </c>
      <c r="I87">
        <v>74.583120690000001</v>
      </c>
      <c r="J87">
        <v>15.644499959999999</v>
      </c>
      <c r="K87">
        <v>25.794971060000002</v>
      </c>
    </row>
    <row r="88" spans="1:11" x14ac:dyDescent="0.3">
      <c r="A88" t="s">
        <v>13</v>
      </c>
      <c r="B88">
        <v>1983</v>
      </c>
      <c r="C88">
        <v>15.872999</v>
      </c>
      <c r="D88">
        <v>21.028700000000001</v>
      </c>
      <c r="E88">
        <v>31.16</v>
      </c>
      <c r="F88">
        <v>3.5995998</v>
      </c>
      <c r="G88">
        <v>71.661298799999997</v>
      </c>
      <c r="H88">
        <v>159.05046730000001</v>
      </c>
      <c r="I88">
        <v>73.594044159999996</v>
      </c>
      <c r="J88">
        <v>14.332259759999999</v>
      </c>
      <c r="K88">
        <v>25.16301983</v>
      </c>
    </row>
    <row r="89" spans="1:11" x14ac:dyDescent="0.3">
      <c r="A89" t="s">
        <v>13</v>
      </c>
      <c r="B89">
        <v>1984</v>
      </c>
      <c r="C89">
        <v>15.842499999999999</v>
      </c>
      <c r="D89">
        <v>22.195900000000002</v>
      </c>
      <c r="E89">
        <v>47.793100000000003</v>
      </c>
      <c r="F89">
        <v>3.6667999999999998</v>
      </c>
      <c r="G89">
        <v>89.4983</v>
      </c>
      <c r="H89">
        <v>171.7381944</v>
      </c>
      <c r="I89">
        <v>84.439381999999995</v>
      </c>
      <c r="J89">
        <v>17.899660000000001</v>
      </c>
      <c r="K89">
        <v>25.352586540000001</v>
      </c>
    </row>
    <row r="90" spans="1:11" x14ac:dyDescent="0.3">
      <c r="A90" t="s">
        <v>13</v>
      </c>
      <c r="B90">
        <v>1985</v>
      </c>
      <c r="C90">
        <v>16.326499999999999</v>
      </c>
      <c r="D90">
        <v>24.673999999999999</v>
      </c>
      <c r="E90">
        <v>46.335697000000003</v>
      </c>
      <c r="F90">
        <v>3.7589997999999998</v>
      </c>
      <c r="G90">
        <v>91.095196799999997</v>
      </c>
      <c r="H90">
        <v>180.5351474</v>
      </c>
      <c r="I90">
        <v>89.291183189999998</v>
      </c>
      <c r="J90">
        <v>23.412907390000001</v>
      </c>
      <c r="K90">
        <v>26.047799990000001</v>
      </c>
    </row>
    <row r="91" spans="1:11" x14ac:dyDescent="0.3">
      <c r="A91" t="s">
        <v>13</v>
      </c>
      <c r="B91">
        <v>1986</v>
      </c>
      <c r="C91">
        <v>17.099599999999999</v>
      </c>
      <c r="D91">
        <v>26.922799999999999</v>
      </c>
      <c r="E91">
        <v>41.403500000000001</v>
      </c>
      <c r="F91">
        <v>3.8028</v>
      </c>
      <c r="G91">
        <v>89.228700000000003</v>
      </c>
      <c r="H91">
        <v>187.52737809999999</v>
      </c>
      <c r="I91">
        <v>92.003585999999999</v>
      </c>
      <c r="J91">
        <v>23.551225599999999</v>
      </c>
      <c r="K91">
        <v>26.659954670000001</v>
      </c>
    </row>
    <row r="92" spans="1:11" x14ac:dyDescent="0.3">
      <c r="A92" t="s">
        <v>13</v>
      </c>
      <c r="B92">
        <v>1987</v>
      </c>
      <c r="C92">
        <v>17.755099999999999</v>
      </c>
      <c r="D92">
        <v>29.2134</v>
      </c>
      <c r="E92">
        <v>42</v>
      </c>
      <c r="F92">
        <v>4.7157999999999998</v>
      </c>
      <c r="G92">
        <v>93.684299999999993</v>
      </c>
      <c r="H92">
        <v>202.82489219999999</v>
      </c>
      <c r="I92">
        <v>98.870014999999995</v>
      </c>
      <c r="J92">
        <v>24.852319600000001</v>
      </c>
      <c r="K92">
        <v>26.497634900000001</v>
      </c>
    </row>
    <row r="93" spans="1:11" x14ac:dyDescent="0.3">
      <c r="A93" t="s">
        <v>13</v>
      </c>
      <c r="B93">
        <v>1988</v>
      </c>
      <c r="C93">
        <v>17.327999999999999</v>
      </c>
      <c r="D93">
        <v>24.942</v>
      </c>
      <c r="E93">
        <v>41.478700000000003</v>
      </c>
      <c r="F93">
        <v>4.7510000000000003</v>
      </c>
      <c r="G93">
        <v>88.499700000000004</v>
      </c>
      <c r="H93">
        <v>188.76374960000001</v>
      </c>
      <c r="I93">
        <v>89.511039999999994</v>
      </c>
      <c r="J93">
        <v>22.828472000000001</v>
      </c>
      <c r="K93">
        <v>27.350137069999999</v>
      </c>
    </row>
    <row r="94" spans="1:11" x14ac:dyDescent="0.3">
      <c r="A94" t="s">
        <v>13</v>
      </c>
      <c r="B94">
        <v>1989</v>
      </c>
      <c r="C94">
        <v>16.005299999999998</v>
      </c>
      <c r="D94">
        <v>22.387899999999998</v>
      </c>
      <c r="E94">
        <v>44.146796999999999</v>
      </c>
      <c r="F94">
        <v>4.9416000000000002</v>
      </c>
      <c r="G94">
        <v>87.481596999999994</v>
      </c>
      <c r="H94">
        <v>179.1858561</v>
      </c>
      <c r="I94">
        <v>85.105230500000005</v>
      </c>
      <c r="J94">
        <v>22.013011599999999</v>
      </c>
      <c r="K94">
        <v>29.73983076</v>
      </c>
    </row>
    <row r="95" spans="1:11" x14ac:dyDescent="0.3">
      <c r="A95" t="s">
        <v>13</v>
      </c>
      <c r="B95">
        <v>1990</v>
      </c>
      <c r="C95">
        <v>16.976799</v>
      </c>
      <c r="D95">
        <v>27.162099999999999</v>
      </c>
      <c r="E95">
        <v>54.952399999999997</v>
      </c>
      <c r="F95">
        <v>5.1966999999999999</v>
      </c>
      <c r="G95">
        <v>104.287999</v>
      </c>
      <c r="H95">
        <v>204.1095723</v>
      </c>
      <c r="I95">
        <v>101.4015115</v>
      </c>
      <c r="J95">
        <v>26.439705199999999</v>
      </c>
      <c r="K95">
        <v>29.805041469999999</v>
      </c>
    </row>
    <row r="96" spans="1:11" x14ac:dyDescent="0.3">
      <c r="A96" t="s">
        <v>13</v>
      </c>
      <c r="B96">
        <v>1991</v>
      </c>
      <c r="C96">
        <v>16.552</v>
      </c>
      <c r="D96">
        <v>27.545300000000001</v>
      </c>
      <c r="E96">
        <v>45.648598</v>
      </c>
      <c r="F96">
        <v>4.8163</v>
      </c>
      <c r="G96">
        <v>94.562197999999995</v>
      </c>
      <c r="H96">
        <v>196.209509</v>
      </c>
      <c r="I96">
        <v>96.728127000000001</v>
      </c>
      <c r="J96">
        <v>24.631372200000001</v>
      </c>
      <c r="K96">
        <v>29.52928743</v>
      </c>
    </row>
    <row r="97" spans="1:11" x14ac:dyDescent="0.3">
      <c r="A97" t="s">
        <v>13</v>
      </c>
      <c r="B97">
        <v>1992</v>
      </c>
      <c r="C97">
        <v>15.306800000000001</v>
      </c>
      <c r="D97">
        <v>30.871697999999999</v>
      </c>
      <c r="E97">
        <v>45.082599999999999</v>
      </c>
      <c r="F97">
        <v>5.2545999999999999</v>
      </c>
      <c r="G97">
        <v>96.515698</v>
      </c>
      <c r="H97">
        <v>203.9277472</v>
      </c>
      <c r="I97">
        <v>103.4254748</v>
      </c>
      <c r="J97">
        <v>25.731041340000001</v>
      </c>
      <c r="K97">
        <v>29.142129180000001</v>
      </c>
    </row>
    <row r="98" spans="1:11" x14ac:dyDescent="0.3">
      <c r="A98" t="s">
        <v>13</v>
      </c>
      <c r="B98">
        <v>1993</v>
      </c>
      <c r="C98">
        <v>15.833299999999999</v>
      </c>
      <c r="D98">
        <v>32.300198000000002</v>
      </c>
      <c r="E98">
        <v>50.469299999999997</v>
      </c>
      <c r="F98">
        <v>5.2969999999999997</v>
      </c>
      <c r="G98">
        <v>103.899798</v>
      </c>
      <c r="H98">
        <v>213.18110820000001</v>
      </c>
      <c r="I98">
        <v>109.45000279999999</v>
      </c>
      <c r="J98">
        <v>27.530989139999999</v>
      </c>
      <c r="K98">
        <v>29.15114204</v>
      </c>
    </row>
    <row r="99" spans="1:11" x14ac:dyDescent="0.3">
      <c r="A99" t="s">
        <v>13</v>
      </c>
      <c r="B99">
        <v>1994</v>
      </c>
      <c r="C99">
        <v>14.071400000000001</v>
      </c>
      <c r="D99">
        <v>33.737400000000001</v>
      </c>
      <c r="E99">
        <v>44.047600000000003</v>
      </c>
      <c r="F99">
        <v>5.0025997000000002</v>
      </c>
      <c r="G99">
        <v>96.858999699999998</v>
      </c>
      <c r="H99">
        <v>205.61208999999999</v>
      </c>
      <c r="I99">
        <v>107.8468895</v>
      </c>
      <c r="J99">
        <v>26.49106918</v>
      </c>
      <c r="K99">
        <v>29.155577839999999</v>
      </c>
    </row>
    <row r="100" spans="1:11" x14ac:dyDescent="0.3">
      <c r="A100" t="s">
        <v>13</v>
      </c>
      <c r="B100">
        <v>1995</v>
      </c>
      <c r="C100">
        <v>14.6256</v>
      </c>
      <c r="D100">
        <v>33.709198000000001</v>
      </c>
      <c r="E100">
        <v>22.505099999999999</v>
      </c>
      <c r="F100">
        <v>5.4221000000000004</v>
      </c>
      <c r="G100">
        <v>76.261998000000006</v>
      </c>
      <c r="H100">
        <v>198.6567627</v>
      </c>
      <c r="I100">
        <v>97.969038819999994</v>
      </c>
      <c r="J100">
        <v>22.68018914</v>
      </c>
      <c r="K100">
        <v>29.131539969999999</v>
      </c>
    </row>
    <row r="101" spans="1:11" x14ac:dyDescent="0.3">
      <c r="A101" t="s">
        <v>13</v>
      </c>
      <c r="B101">
        <v>1996</v>
      </c>
      <c r="C101">
        <v>14.299099999999999</v>
      </c>
      <c r="D101">
        <v>34.625100000000003</v>
      </c>
      <c r="E101">
        <v>23.208300000000001</v>
      </c>
      <c r="F101">
        <v>5.6383999999999999</v>
      </c>
      <c r="G101">
        <v>77.770899999999997</v>
      </c>
      <c r="H101">
        <v>201.92357519999999</v>
      </c>
      <c r="I101">
        <v>100.40142</v>
      </c>
      <c r="J101">
        <v>23.179649000000001</v>
      </c>
      <c r="K101">
        <v>29.062245600000001</v>
      </c>
    </row>
    <row r="102" spans="1:11" x14ac:dyDescent="0.3">
      <c r="A102" t="s">
        <v>13</v>
      </c>
      <c r="B102">
        <v>1997</v>
      </c>
      <c r="C102">
        <v>14.2218</v>
      </c>
      <c r="D102">
        <v>34.831200000000003</v>
      </c>
      <c r="E102">
        <v>25.890999000000001</v>
      </c>
      <c r="F102">
        <v>5.5994000000000002</v>
      </c>
      <c r="G102">
        <v>80.543398999999994</v>
      </c>
      <c r="H102">
        <v>203.4363438</v>
      </c>
      <c r="I102">
        <v>102.0713195</v>
      </c>
      <c r="J102">
        <v>23.783891799999999</v>
      </c>
      <c r="K102">
        <v>29.159362340000001</v>
      </c>
    </row>
    <row r="103" spans="1:11" x14ac:dyDescent="0.3">
      <c r="A103" t="s">
        <v>13</v>
      </c>
      <c r="B103">
        <v>1998</v>
      </c>
      <c r="C103">
        <v>15.451098999999999</v>
      </c>
      <c r="D103">
        <v>32.459800000000001</v>
      </c>
      <c r="E103">
        <v>23.831700000000001</v>
      </c>
      <c r="F103">
        <v>5.9895997000000003</v>
      </c>
      <c r="G103">
        <v>77.732198699999998</v>
      </c>
      <c r="H103">
        <v>202.4005319</v>
      </c>
      <c r="I103">
        <v>97.349586000000002</v>
      </c>
      <c r="J103">
        <v>22.652817760000001</v>
      </c>
      <c r="K103">
        <v>29.332942580000001</v>
      </c>
    </row>
    <row r="104" spans="1:11" x14ac:dyDescent="0.3">
      <c r="A104" t="s">
        <v>13</v>
      </c>
      <c r="B104">
        <v>1999</v>
      </c>
      <c r="C104">
        <v>14.024799</v>
      </c>
      <c r="D104">
        <v>33.122498</v>
      </c>
      <c r="E104">
        <v>25.5931</v>
      </c>
      <c r="F104">
        <v>6.3466997000000003</v>
      </c>
      <c r="G104">
        <v>79.087096700000004</v>
      </c>
      <c r="H104">
        <v>202.41965060000001</v>
      </c>
      <c r="I104">
        <v>99.420032820000003</v>
      </c>
      <c r="J104">
        <v>23.054791900000001</v>
      </c>
      <c r="K104">
        <v>29.330657129999999</v>
      </c>
    </row>
    <row r="105" spans="1:11" x14ac:dyDescent="0.3">
      <c r="A105" t="s">
        <v>13</v>
      </c>
      <c r="B105">
        <v>2000</v>
      </c>
      <c r="C105">
        <v>15.324199999999999</v>
      </c>
      <c r="D105">
        <v>34.719099999999997</v>
      </c>
      <c r="E105">
        <v>26.677099999999999</v>
      </c>
      <c r="F105">
        <v>6.3422000000000001</v>
      </c>
      <c r="G105">
        <v>83.062600000000003</v>
      </c>
      <c r="H105">
        <v>212.34706009999999</v>
      </c>
      <c r="I105">
        <v>103.980549</v>
      </c>
      <c r="J105">
        <v>24.217381</v>
      </c>
      <c r="K105">
        <v>29.074616169999999</v>
      </c>
    </row>
    <row r="106" spans="1:11" x14ac:dyDescent="0.3">
      <c r="A106" t="s">
        <v>13</v>
      </c>
      <c r="B106">
        <v>2001</v>
      </c>
      <c r="C106">
        <v>14.949598999999999</v>
      </c>
      <c r="D106">
        <v>35.019300000000001</v>
      </c>
      <c r="E106">
        <v>27.700099999999999</v>
      </c>
      <c r="F106">
        <v>6.3579999999999997</v>
      </c>
      <c r="G106">
        <v>84.026999000000004</v>
      </c>
      <c r="H106">
        <v>212.5164858</v>
      </c>
      <c r="I106">
        <v>104.9457345</v>
      </c>
      <c r="J106">
        <v>24.478358799999999</v>
      </c>
      <c r="K106">
        <v>29.047290910000001</v>
      </c>
    </row>
    <row r="107" spans="1:11" x14ac:dyDescent="0.3">
      <c r="A107" t="s">
        <v>13</v>
      </c>
      <c r="B107">
        <v>2002</v>
      </c>
      <c r="C107">
        <v>15.8446</v>
      </c>
      <c r="D107">
        <v>35.454500000000003</v>
      </c>
      <c r="E107">
        <v>27.989799999999999</v>
      </c>
      <c r="F107">
        <v>6.4344996999999999</v>
      </c>
      <c r="G107">
        <v>85.723399700000002</v>
      </c>
      <c r="H107">
        <v>217.68581130000001</v>
      </c>
      <c r="I107">
        <v>106.5946075</v>
      </c>
      <c r="J107">
        <v>24.91314496</v>
      </c>
      <c r="K107">
        <v>28.569504760000001</v>
      </c>
    </row>
    <row r="108" spans="1:11" x14ac:dyDescent="0.3">
      <c r="A108" t="s">
        <v>13</v>
      </c>
      <c r="B108">
        <v>2003</v>
      </c>
      <c r="C108">
        <v>15.636499000000001</v>
      </c>
      <c r="D108">
        <v>37.000399999999999</v>
      </c>
      <c r="E108">
        <v>29.516400000000001</v>
      </c>
      <c r="F108">
        <v>6.5000996999999998</v>
      </c>
      <c r="G108">
        <v>88.653398699999997</v>
      </c>
      <c r="H108">
        <v>222.68679159999999</v>
      </c>
      <c r="I108">
        <v>110.581537</v>
      </c>
      <c r="J108">
        <v>25.850765760000002</v>
      </c>
      <c r="K108">
        <v>28.979324559999998</v>
      </c>
    </row>
    <row r="109" spans="1:11" x14ac:dyDescent="0.3">
      <c r="A109" t="s">
        <v>13</v>
      </c>
      <c r="B109">
        <v>2004</v>
      </c>
      <c r="C109">
        <v>15.743798999999999</v>
      </c>
      <c r="D109">
        <v>39.150799999999997</v>
      </c>
      <c r="E109">
        <v>30.816299999999998</v>
      </c>
      <c r="F109">
        <v>6.5566997999999996</v>
      </c>
      <c r="G109">
        <v>92.267598800000002</v>
      </c>
      <c r="H109">
        <v>230.41518199999999</v>
      </c>
      <c r="I109">
        <v>115.87155420000001</v>
      </c>
      <c r="J109">
        <v>27.064801769999999</v>
      </c>
      <c r="K109">
        <v>28.923938190000001</v>
      </c>
    </row>
    <row r="110" spans="1:11" x14ac:dyDescent="0.3">
      <c r="A110" t="s">
        <v>13</v>
      </c>
      <c r="B110">
        <v>2005</v>
      </c>
      <c r="C110">
        <v>15.8621</v>
      </c>
      <c r="D110">
        <v>38.974400000000003</v>
      </c>
      <c r="E110">
        <v>30.567</v>
      </c>
      <c r="F110">
        <v>6.4928999999999997</v>
      </c>
      <c r="G110">
        <v>91.8964</v>
      </c>
      <c r="H110">
        <v>229.78233019999999</v>
      </c>
      <c r="I110">
        <v>115.340762</v>
      </c>
      <c r="J110">
        <v>26.953817999999998</v>
      </c>
      <c r="K110">
        <v>28.574781649999998</v>
      </c>
    </row>
    <row r="111" spans="1:11" x14ac:dyDescent="0.3">
      <c r="A111" t="s">
        <v>13</v>
      </c>
      <c r="B111">
        <v>2006</v>
      </c>
      <c r="C111">
        <v>18.333300000000001</v>
      </c>
      <c r="D111">
        <v>38.962699999999998</v>
      </c>
      <c r="E111">
        <v>30.774699999999999</v>
      </c>
      <c r="F111">
        <v>6.4302998000000002</v>
      </c>
      <c r="G111">
        <v>94.500999800000002</v>
      </c>
      <c r="H111">
        <v>238.4231489</v>
      </c>
      <c r="I111">
        <v>116.63161270000001</v>
      </c>
      <c r="J111">
        <v>27.47580297</v>
      </c>
      <c r="K111">
        <v>28.986026089999999</v>
      </c>
    </row>
    <row r="112" spans="1:11" x14ac:dyDescent="0.3">
      <c r="A112" t="s">
        <v>13</v>
      </c>
      <c r="B112">
        <v>2007</v>
      </c>
      <c r="C112">
        <v>16.314699999999998</v>
      </c>
      <c r="D112">
        <v>38.288997999999999</v>
      </c>
      <c r="E112">
        <v>31.978199</v>
      </c>
      <c r="F112">
        <v>6.4672999999999998</v>
      </c>
      <c r="G112">
        <v>93.049197000000007</v>
      </c>
      <c r="H112">
        <v>230.0200232</v>
      </c>
      <c r="I112">
        <v>114.8135573</v>
      </c>
      <c r="J112">
        <v>27.028270939999999</v>
      </c>
      <c r="K112">
        <v>30.60542156</v>
      </c>
    </row>
    <row r="113" spans="1:11" x14ac:dyDescent="0.3">
      <c r="A113" t="s">
        <v>13</v>
      </c>
      <c r="B113">
        <v>2008</v>
      </c>
      <c r="C113">
        <v>16.587900000000001</v>
      </c>
      <c r="D113">
        <v>38.322597999999999</v>
      </c>
      <c r="E113">
        <v>36.888599999999997</v>
      </c>
      <c r="F113">
        <v>6.5030999999999999</v>
      </c>
      <c r="G113">
        <v>98.302198000000004</v>
      </c>
      <c r="H113">
        <v>233.98627500000001</v>
      </c>
      <c r="I113">
        <v>117.5399838</v>
      </c>
      <c r="J113">
        <v>28.084451139999999</v>
      </c>
      <c r="K113">
        <v>23.202965389999999</v>
      </c>
    </row>
    <row r="114" spans="1:11" x14ac:dyDescent="0.3">
      <c r="A114" t="s">
        <v>13</v>
      </c>
      <c r="B114">
        <v>2009</v>
      </c>
      <c r="C114">
        <v>17.474499000000002</v>
      </c>
      <c r="D114">
        <v>40.814100000000003</v>
      </c>
      <c r="E114">
        <v>35.606299999999997</v>
      </c>
      <c r="F114">
        <v>6.3828997999999997</v>
      </c>
      <c r="G114">
        <v>100.2777988</v>
      </c>
      <c r="H114">
        <v>243.0014286</v>
      </c>
      <c r="I114">
        <v>122.3872562</v>
      </c>
      <c r="J114">
        <v>29.059828769999999</v>
      </c>
      <c r="K114">
        <v>19.172837040000001</v>
      </c>
    </row>
    <row r="115" spans="1:11" x14ac:dyDescent="0.3">
      <c r="A115" t="s">
        <v>13</v>
      </c>
      <c r="B115">
        <v>2010</v>
      </c>
      <c r="C115">
        <v>17.083600000000001</v>
      </c>
      <c r="D115">
        <v>39.489800000000002</v>
      </c>
      <c r="E115">
        <v>35.883299999999998</v>
      </c>
      <c r="F115">
        <v>5.5740999999999996</v>
      </c>
      <c r="G115">
        <v>98.030799999999999</v>
      </c>
      <c r="H115">
        <v>232.6283225</v>
      </c>
      <c r="I115">
        <v>118.28097699999999</v>
      </c>
      <c r="J115">
        <v>28.354368000000001</v>
      </c>
      <c r="K115">
        <v>19.106970100000002</v>
      </c>
    </row>
    <row r="116" spans="1:11" x14ac:dyDescent="0.3">
      <c r="A116" t="s">
        <v>13</v>
      </c>
      <c r="B116">
        <v>2011</v>
      </c>
      <c r="C116">
        <v>16.902000000000001</v>
      </c>
      <c r="D116">
        <v>38.152099999999997</v>
      </c>
      <c r="E116">
        <v>36.159700000000001</v>
      </c>
      <c r="F116">
        <v>6.5427999999999997</v>
      </c>
      <c r="G116">
        <v>97.756600000000006</v>
      </c>
      <c r="H116">
        <v>234.49361709999999</v>
      </c>
      <c r="I116">
        <v>117.047995</v>
      </c>
      <c r="J116">
        <v>27.933734999999999</v>
      </c>
      <c r="K116">
        <v>19.192851999999998</v>
      </c>
    </row>
    <row r="117" spans="1:11" x14ac:dyDescent="0.3">
      <c r="A117" t="s">
        <v>13</v>
      </c>
      <c r="B117">
        <v>2012</v>
      </c>
      <c r="C117">
        <v>16.325199999999999</v>
      </c>
      <c r="D117">
        <v>39.858699999999999</v>
      </c>
      <c r="E117">
        <v>34.8583</v>
      </c>
      <c r="F117">
        <v>6.5822997000000001</v>
      </c>
      <c r="G117">
        <v>97.624499700000001</v>
      </c>
      <c r="H117">
        <v>236.93290110000001</v>
      </c>
      <c r="I117">
        <v>119.7203995</v>
      </c>
      <c r="J117">
        <v>28.297462960000001</v>
      </c>
      <c r="K117">
        <v>19.343449870000001</v>
      </c>
    </row>
    <row r="118" spans="1:11" x14ac:dyDescent="0.3">
      <c r="A118" t="s">
        <v>13</v>
      </c>
      <c r="B118">
        <v>2013</v>
      </c>
      <c r="C118">
        <v>16.0227</v>
      </c>
      <c r="D118">
        <v>40.387300000000003</v>
      </c>
      <c r="E118">
        <v>20.737299</v>
      </c>
      <c r="F118">
        <v>6.6681999999999997</v>
      </c>
      <c r="G118">
        <v>83.815499000000003</v>
      </c>
      <c r="H118">
        <v>230.32786830000001</v>
      </c>
      <c r="I118">
        <v>113.7392115</v>
      </c>
      <c r="J118">
        <v>25.652086799999999</v>
      </c>
      <c r="K118">
        <v>19.308792879999999</v>
      </c>
    </row>
    <row r="119" spans="1:11" x14ac:dyDescent="0.3">
      <c r="A119" t="s">
        <v>13</v>
      </c>
      <c r="B119">
        <v>2014</v>
      </c>
      <c r="C119">
        <v>15.768599500000001</v>
      </c>
      <c r="D119">
        <v>38.726300000000002</v>
      </c>
      <c r="E119">
        <v>36.579000000000001</v>
      </c>
      <c r="F119">
        <v>6.1752000000000002</v>
      </c>
      <c r="G119">
        <v>97.2490995</v>
      </c>
      <c r="H119">
        <v>229.8987228</v>
      </c>
      <c r="I119">
        <v>117.2798887</v>
      </c>
      <c r="J119">
        <v>22.5646749</v>
      </c>
      <c r="K119">
        <v>10.53877278</v>
      </c>
    </row>
    <row r="120" spans="1:11" x14ac:dyDescent="0.3">
      <c r="A120" t="s">
        <v>13</v>
      </c>
      <c r="B120">
        <v>2015</v>
      </c>
      <c r="C120">
        <v>15.043900000000001</v>
      </c>
      <c r="D120">
        <v>39.307600000000001</v>
      </c>
      <c r="E120">
        <v>36.723697999999999</v>
      </c>
      <c r="F120">
        <v>6.5918999999999999</v>
      </c>
      <c r="G120">
        <v>97.667097999999996</v>
      </c>
      <c r="H120">
        <v>231.74219890000001</v>
      </c>
      <c r="I120">
        <v>118.837283</v>
      </c>
      <c r="J120">
        <v>18.72555354</v>
      </c>
      <c r="K120">
        <v>10.59533171</v>
      </c>
    </row>
    <row r="121" spans="1:11" x14ac:dyDescent="0.3">
      <c r="A121" t="s">
        <v>13</v>
      </c>
      <c r="B121">
        <v>2016</v>
      </c>
      <c r="C121">
        <v>15.037299000000001</v>
      </c>
      <c r="D121">
        <v>39.577399999999997</v>
      </c>
      <c r="E121">
        <v>35.413899999999998</v>
      </c>
      <c r="F121">
        <v>6.6310997</v>
      </c>
      <c r="G121">
        <v>96.659698700000007</v>
      </c>
      <c r="H121">
        <v>232.05372439999999</v>
      </c>
      <c r="I121">
        <v>118.804311</v>
      </c>
      <c r="J121">
        <v>18.468739729999999</v>
      </c>
      <c r="K121">
        <v>10.38925128</v>
      </c>
    </row>
    <row r="122" spans="1:11" x14ac:dyDescent="0.3">
      <c r="A122" t="s">
        <v>13</v>
      </c>
      <c r="B122">
        <v>2017</v>
      </c>
      <c r="C122">
        <v>17.529199999999999</v>
      </c>
      <c r="D122">
        <v>40.485900000000001</v>
      </c>
      <c r="E122">
        <v>36.4148</v>
      </c>
      <c r="F122">
        <v>6.8596997000000002</v>
      </c>
      <c r="G122">
        <v>101.2895997</v>
      </c>
      <c r="H122">
        <v>245.76781539999999</v>
      </c>
      <c r="I122">
        <v>122.88313549999999</v>
      </c>
      <c r="J122">
        <v>19.440362960000002</v>
      </c>
      <c r="K122">
        <v>20</v>
      </c>
    </row>
    <row r="123" spans="1:11" x14ac:dyDescent="0.3">
      <c r="A123" t="s">
        <v>13</v>
      </c>
      <c r="B123">
        <v>2018</v>
      </c>
      <c r="C123">
        <v>19.492699000000002</v>
      </c>
      <c r="D123">
        <v>38.773899999999998</v>
      </c>
      <c r="E123">
        <v>35.762999999999998</v>
      </c>
      <c r="F123">
        <v>6.2942</v>
      </c>
      <c r="G123">
        <v>100.32379899999999</v>
      </c>
      <c r="H123">
        <v>243.8850544</v>
      </c>
      <c r="I123">
        <v>119.1319755</v>
      </c>
      <c r="J123">
        <v>19.406083769999999</v>
      </c>
      <c r="K123">
        <v>20</v>
      </c>
    </row>
    <row r="124" spans="1:11" x14ac:dyDescent="0.3">
      <c r="A124" t="s">
        <v>13</v>
      </c>
      <c r="B124">
        <v>2019</v>
      </c>
      <c r="C124">
        <v>19</v>
      </c>
      <c r="D124">
        <v>39</v>
      </c>
      <c r="E124">
        <v>35.874099999999999</v>
      </c>
      <c r="F124">
        <v>6.5003000000000002</v>
      </c>
      <c r="G124">
        <v>100.37439999999999</v>
      </c>
      <c r="H124">
        <v>244.15173429999999</v>
      </c>
      <c r="I124">
        <v>119.722521</v>
      </c>
      <c r="J124">
        <v>19.381084999999999</v>
      </c>
      <c r="K124">
        <v>20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Work</vt:lpstr>
      <vt:lpstr>Temp</vt:lpstr>
      <vt:lpstr>finalData2use - Copy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Anusha Porwal</dc:creator>
  <cp:lastModifiedBy>Anusha Porwal</cp:lastModifiedBy>
  <dcterms:created xsi:type="dcterms:W3CDTF">2024-12-09T20:33:57Z</dcterms:created>
  <dcterms:modified xsi:type="dcterms:W3CDTF">2024-12-11T18:42:13Z</dcterms:modified>
</cp:coreProperties>
</file>